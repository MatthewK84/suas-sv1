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tthewkolakowski/"/>
    </mc:Choice>
  </mc:AlternateContent>
  <xr:revisionPtr revIDLastSave="0" documentId="8_{182A738A-2201-564E-8791-8EA1BF5B4554}" xr6:coauthVersionLast="47" xr6:coauthVersionMax="47" xr10:uidLastSave="{00000000-0000-0000-0000-000000000000}"/>
  <bookViews>
    <workbookView xWindow="0" yWindow="660" windowWidth="34560" windowHeight="21680" tabRatio="500" xr2:uid="{00000000-000D-0000-FFFF-FFFF00000000}"/>
  </bookViews>
  <sheets>
    <sheet name="Summary" sheetId="1" r:id="rId1"/>
    <sheet name="RF Sensor Clusters" sheetId="2" r:id="rId2"/>
    <sheet name="EA Nodes" sheetId="3" r:id="rId3"/>
    <sheet name="C2 Server &amp; Infrastructure" sheetId="4" r:id="rId4"/>
    <sheet name="Acoustic EO-IR Augmentation" sheetId="5" r:id="rId5"/>
    <sheet name="Radar Layer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5" l="1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6" i="5"/>
  <c r="G29" i="6"/>
  <c r="G28" i="6"/>
  <c r="G27" i="6"/>
  <c r="G26" i="6"/>
  <c r="G25" i="6"/>
  <c r="G19" i="6"/>
  <c r="G18" i="6"/>
  <c r="G17" i="6"/>
  <c r="G16" i="6"/>
  <c r="G15" i="6"/>
  <c r="G14" i="6"/>
  <c r="G13" i="6"/>
  <c r="G12" i="6"/>
  <c r="G11" i="6"/>
  <c r="G10" i="6"/>
  <c r="G9" i="6"/>
  <c r="G8" i="6"/>
  <c r="G20" i="6" s="1"/>
  <c r="G21" i="6" s="1"/>
  <c r="G31" i="6" s="1"/>
  <c r="G10" i="1" s="1"/>
  <c r="G7" i="6"/>
  <c r="G6" i="6"/>
  <c r="G42" i="5"/>
  <c r="G41" i="5"/>
  <c r="G40" i="5"/>
  <c r="G43" i="5" s="1"/>
  <c r="G39" i="5"/>
  <c r="G33" i="5"/>
  <c r="G32" i="5"/>
  <c r="G31" i="5"/>
  <c r="G30" i="5"/>
  <c r="G29" i="5"/>
  <c r="G28" i="5"/>
  <c r="G27" i="5"/>
  <c r="G26" i="5"/>
  <c r="G34" i="5" s="1"/>
  <c r="G35" i="5" s="1"/>
  <c r="G21" i="5"/>
  <c r="G22" i="5" s="1"/>
  <c r="G45" i="5" s="1"/>
  <c r="G9" i="1" s="1"/>
  <c r="G23" i="4"/>
  <c r="G22" i="4"/>
  <c r="G21" i="4"/>
  <c r="G20" i="4"/>
  <c r="G19" i="4"/>
  <c r="G18" i="4"/>
  <c r="G17" i="4"/>
  <c r="G16" i="4"/>
  <c r="G15" i="4"/>
  <c r="G14" i="4"/>
  <c r="G13" i="4"/>
  <c r="G12" i="4"/>
  <c r="G24" i="4" s="1"/>
  <c r="G8" i="1" s="1"/>
  <c r="G11" i="4"/>
  <c r="G10" i="4"/>
  <c r="G9" i="4"/>
  <c r="G8" i="4"/>
  <c r="G7" i="4"/>
  <c r="G6" i="4"/>
  <c r="G5" i="4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33" i="3" s="1"/>
  <c r="G34" i="3" s="1"/>
  <c r="G7" i="1" s="1"/>
  <c r="G6" i="3"/>
  <c r="G5" i="3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25" i="2" s="1"/>
  <c r="G26" i="2" s="1"/>
  <c r="G6" i="1" s="1"/>
  <c r="G12" i="1" l="1"/>
  <c r="G14" i="1" l="1"/>
  <c r="G13" i="1"/>
  <c r="G17" i="1" s="1"/>
</calcChain>
</file>

<file path=xl/sharedStrings.xml><?xml version="1.0" encoding="utf-8"?>
<sst xmlns="http://schemas.openxmlformats.org/spreadsheetml/2006/main" count="574" uniqueCount="309">
  <si>
    <t>FULL SHAW AFB C-UAS SYSTEM — COST SUMMARY</t>
  </si>
  <si>
    <t>Multi-Modal Detection &amp; Electronic Redirect | 4 Phenomenologies | Complete Installation Coverage</t>
  </si>
  <si>
    <t>Hardware, Software Development, &amp; Deployment Cost Roll-Up</t>
  </si>
  <si>
    <t>Category</t>
  </si>
  <si>
    <t>Description</t>
  </si>
  <si>
    <t>Qty</t>
  </si>
  <si>
    <t>Total Cost</t>
  </si>
  <si>
    <t>A</t>
  </si>
  <si>
    <t>RF Sensor Clusters (30 nodes, 90 DF sub-nodes)</t>
  </si>
  <si>
    <t>3-element DF array, full perimeter + interior</t>
  </si>
  <si>
    <t>B</t>
  </si>
  <si>
    <t>EA Nodes w/ DF Array (10 nodes, 30 DF sub-nodes)</t>
  </si>
  <si>
    <t>EA TX + DF, all HVT approach corridors</t>
  </si>
  <si>
    <t>C</t>
  </si>
  <si>
    <t>C2 Server &amp; Infrastructure (Primary + Secondary)</t>
  </si>
  <si>
    <t>Dual servers, expanded network, core software</t>
  </si>
  <si>
    <t>D</t>
  </si>
  <si>
    <t>Acoustic / EO-IR Augmentation (24 + 12)</t>
  </si>
  <si>
    <t>24 acoustic arrays + 12 EO/IR turrets + software</t>
  </si>
  <si>
    <t>E</t>
  </si>
  <si>
    <t>Echodyne EchoGuard Radar (10 towers, 30 units)</t>
  </si>
  <si>
    <t>10 towers x 3 ESA radars + integration software</t>
  </si>
  <si>
    <t>HARDWARE + SOFTWARE SUBTOTAL</t>
  </si>
  <si>
    <t>Contingency (15%)</t>
  </si>
  <si>
    <t>Shipping &amp; Handling (5%)</t>
  </si>
  <si>
    <t>Installation &amp; Site Survey (est.)</t>
  </si>
  <si>
    <t>TOTAL ESTIMATED SYSTEM COST</t>
  </si>
  <si>
    <t>NOTES:</t>
  </si>
  <si>
    <t>1. Full Shaw AFB coverage: Main Cantonment (west) + ARCENT/Third Army HQ (east) + all perimeter sectors.</t>
  </si>
  <si>
    <t>2. 30 RF sensor clusters provide 120 DF sub-nodes across 40 locations (30 passive + 10 EA).</t>
  </si>
  <si>
    <t>3. 10 EA nodes cover all approach corridors to critical assets: flight line, munitions, ARCENT HQ, POL, cantonment.</t>
  </si>
  <si>
    <t>4. Dual C2 servers: primary in main cantonment, secondary at ARCENT East for redundancy and reduced latency.</t>
  </si>
  <si>
    <t>5. 10 radar towers x 3 EchoGuard ESA = 30 radars providing overlapping 360° hemispherical coverage.</t>
  </si>
  <si>
    <t>6. Total software development: 1,920 engineer-hours across all layers.</t>
  </si>
  <si>
    <t>7. EchoGuard pricing est. ~$18K/unit. Contact Echodyne for exact government/volume quote.</t>
  </si>
  <si>
    <t>8. RFD900x modems NDAA compliant (FY20 §848, FY23 §817). Verify all components against current NDAA.</t>
  </si>
  <si>
    <t>9. GPS spoofing / EA requires spectrum management coordination and appropriate authorization.</t>
  </si>
  <si>
    <t>10. Installation &amp; Site Survey: RF propagation modeling, antenna placement optimization, cable routing.</t>
  </si>
  <si>
    <t>11. 4 Phenomenologies: RF (DF+TDOA), Acoustic (MEMS BF), EO/IR (Thermal+HD), Radar (K-band ESA).</t>
  </si>
  <si>
    <t>12. Budget ceiling: $3,000,000. System designed to provide full-spectrum, no-gap coverage across entire installation.</t>
  </si>
  <si>
    <t>Passive RF Sensor Cluster w/ 3-Element DF Array</t>
  </si>
  <si>
    <t>Full Shaw AFB Coverage: 30 node clusters (90 DF sub-nodes) — Main Cantonment + ARCENT East + Perimeter</t>
  </si>
  <si>
    <t>Line</t>
  </si>
  <si>
    <t>Component</t>
  </si>
  <si>
    <t>Vendor / Mfr</t>
  </si>
  <si>
    <t>Vendor URL</t>
  </si>
  <si>
    <t>Unit Cost</t>
  </si>
  <si>
    <t>Ext Cost</t>
  </si>
  <si>
    <t>1.1</t>
  </si>
  <si>
    <t>Ettus B205mini-i SDR (70 MHz–6 GHz, 1x1, USB 3.0)</t>
  </si>
  <si>
    <t>Ettus Research / NI</t>
  </si>
  <si>
    <t>https://www.ettus.com/all-products/usrp-b205mini-i/</t>
  </si>
  <si>
    <t>1.2</t>
  </si>
  <si>
    <t>Wideband Discone Antenna 25–6000 MHz (per sub-node)</t>
  </si>
  <si>
    <t>Diamond / Amazon</t>
  </si>
  <si>
    <t>https://www.amazon.com/dp/B004M8SPGQ</t>
  </si>
  <si>
    <t>1.3</t>
  </si>
  <si>
    <t>LMR-240 Coax Cable 15 ft (matched-length, antenna to enclosure)</t>
  </si>
  <si>
    <t>Times Microwave / Pasternack</t>
  </si>
  <si>
    <t>https://www.pasternack.com</t>
  </si>
  <si>
    <t>1.4</t>
  </si>
  <si>
    <t>Leo Bodnar GPSDO 10 MHz Reference Clock (shared, phase sync)</t>
  </si>
  <si>
    <t>Leo Bodnar Electronics</t>
  </si>
  <si>
    <t>https://www.leobodnar.com</t>
  </si>
  <si>
    <t>1.5</t>
  </si>
  <si>
    <t>SMA Power Splitter 1-to-3 (10 MHz ref distribution)</t>
  </si>
  <si>
    <t>Mini-Circuits / Mouser</t>
  </si>
  <si>
    <t>https://www.minicircuits.com</t>
  </si>
  <si>
    <t>1.6</t>
  </si>
  <si>
    <t>Triangular Antenna Mast Frame (Al, 3–5m baseline)</t>
  </si>
  <si>
    <t>8020 / McMaster-Carr</t>
  </si>
  <si>
    <t>https://www.mcmaster.com</t>
  </si>
  <si>
    <t>1.7</t>
  </si>
  <si>
    <t>USB 3.0 4-Port Industrial Hub (3 SDRs to compute)</t>
  </si>
  <si>
    <t>Coolgear / Amazon</t>
  </si>
  <si>
    <t>https://www.amazon.com</t>
  </si>
  <si>
    <t>2.1</t>
  </si>
  <si>
    <t>NVIDIA Jetson Orin Nano Super Dev Kit (67 TOPS)</t>
  </si>
  <si>
    <t>NVIDIA / Amazon</t>
  </si>
  <si>
    <t>https://www.amazon.com/NVIDIA-Jetson-Orin-Nano-Developer/dp/B0BZJTQ5YP</t>
  </si>
  <si>
    <t>2.2</t>
  </si>
  <si>
    <t>Samsung 990 EVO NVMe SSD 1 TB + M.2 HAT</t>
  </si>
  <si>
    <t>Samsung / Amazon</t>
  </si>
  <si>
    <t>3.1</t>
  </si>
  <si>
    <t>RFD900x-US Modem (FCC, NDAA Compliant)</t>
  </si>
  <si>
    <t>RFDesign (via NW Blue)</t>
  </si>
  <si>
    <t>https://nwblue.com/products/rfd-900x-us-telemetry-modem</t>
  </si>
  <si>
    <t>3.2</t>
  </si>
  <si>
    <t>900 MHz Half-Wave Dipole Antenna 3 dBi (backhaul)</t>
  </si>
  <si>
    <t>RFDesign</t>
  </si>
  <si>
    <t>https://rfdesign.com.au/modems/</t>
  </si>
  <si>
    <t>4.1</t>
  </si>
  <si>
    <t>NEMA 4X Polycarbonate Enclosure 16x14x8 w/ Pole Mount</t>
  </si>
  <si>
    <t>Altelix</t>
  </si>
  <si>
    <t>https://altelix.com/weatherproof-nema-enclosures/</t>
  </si>
  <si>
    <t>4.2</t>
  </si>
  <si>
    <t>200W Solar Panel Kit (Mono, 12V)</t>
  </si>
  <si>
    <t>Renogy / Amazon</t>
  </si>
  <si>
    <t>4.3</t>
  </si>
  <si>
    <t>12V 100Ah LiFePO4 Battery</t>
  </si>
  <si>
    <t>Ampere Time / Amazon</t>
  </si>
  <si>
    <t>4.4</t>
  </si>
  <si>
    <t>MPPT Solar Charge Controller 30A</t>
  </si>
  <si>
    <t>Victron Energy / Amazon</t>
  </si>
  <si>
    <t>4.5</t>
  </si>
  <si>
    <t>12V to 5V/5A USB-C Buck Converter</t>
  </si>
  <si>
    <t>DFRobot / Amazon</t>
  </si>
  <si>
    <t>5.1</t>
  </si>
  <si>
    <t>SMA Cables, Adapters, Lightning Arrestors Kit (x3 runs)</t>
  </si>
  <si>
    <t>Pasternack / Amazon</t>
  </si>
  <si>
    <t>5.2</t>
  </si>
  <si>
    <t>Ethernet Cable, Cat6 Outdoor Shielded (25 ft)</t>
  </si>
  <si>
    <t>Monoprice</t>
  </si>
  <si>
    <t>https://www.monoprice.com</t>
  </si>
  <si>
    <t>5.3</t>
  </si>
  <si>
    <t>Cable Glands, Mounting Hardware, Zip Ties Kit</t>
  </si>
  <si>
    <t>Various / Amazon</t>
  </si>
  <si>
    <t>5.4</t>
  </si>
  <si>
    <t>MicroSD 128 GB A2 (backup boot)</t>
  </si>
  <si>
    <t>SUBTOTAL PER SENSOR NODE CLUSTER</t>
  </si>
  <si>
    <t>x 30 Sensor Node Clusters (90 total sub-nodes)</t>
  </si>
  <si>
    <t>Electronic Attack Node w/ 3-Element DF Array</t>
  </si>
  <si>
    <t>Full Shaw AFB: 10 EA nodes (30 DF sub-nodes + 10 X310 TX) — Covering all HVT approach corridors</t>
  </si>
  <si>
    <t>Ettus B205mini-i SDR (70 MHz–6 GHz, DF array RX)</t>
  </si>
  <si>
    <t>Wideband Discone Antenna 25–6000 MHz (DF sub-node)</t>
  </si>
  <si>
    <t>LMR-240 Coax Cable 15 ft (matched-length, DF array)</t>
  </si>
  <si>
    <t>Leo Bodnar GPSDO 10 MHz Reference Clock</t>
  </si>
  <si>
    <t>SMA Power Splitter 1-to-4 (10 MHz ref: 3 DF + X310)</t>
  </si>
  <si>
    <t>USB 3.0 4-Port Industrial Hub (3 DF SDRs)</t>
  </si>
  <si>
    <t>USRP X310 SDR Kit (DC–6 GHz, Kintex-7 FPGA, EA TX/RX)</t>
  </si>
  <si>
    <t>https://www.ettus.com/all-products/x310-kit/</t>
  </si>
  <si>
    <t>UBX-160 Daughterboard (10 MHz–6 GHz, 160 MHz BW)</t>
  </si>
  <si>
    <t>https://www.ettus.com/all-products/ubx160/</t>
  </si>
  <si>
    <t>2.3</t>
  </si>
  <si>
    <t>RF Power Amplifier 2.4 GHz 10W</t>
  </si>
  <si>
    <t>2.4</t>
  </si>
  <si>
    <t>RF Power Amplifier 5.8 GHz 5W</t>
  </si>
  <si>
    <t>2.5</t>
  </si>
  <si>
    <t>GPS L1 Spoofer Signal Generator Module</t>
  </si>
  <si>
    <t>Custom / COTS Signal Gen</t>
  </si>
  <si>
    <t>https://www.ettus.com</t>
  </si>
  <si>
    <t>Directional Panel Antenna 2.4 GHz 14 dBi (EA TX)</t>
  </si>
  <si>
    <t>L-com</t>
  </si>
  <si>
    <t>https://www.l-com.com/antenna</t>
  </si>
  <si>
    <t>Directional Panel Antenna 5.8 GHz 14 dBi (EA TX)</t>
  </si>
  <si>
    <t>3.3</t>
  </si>
  <si>
    <t>GPS L1 Patch Antenna (spoofing TX)</t>
  </si>
  <si>
    <t>Tallysman / Digikey</t>
  </si>
  <si>
    <t>https://www.digikey.com</t>
  </si>
  <si>
    <t>3.4</t>
  </si>
  <si>
    <t>SMA Antenna, 900 MHz 6 dBi Omni (mesh backhaul)</t>
  </si>
  <si>
    <t>NVIDIA Jetson Orin NX 16 GB Module (DF + EA control)</t>
  </si>
  <si>
    <t>NVIDIA / Arrow</t>
  </si>
  <si>
    <t>https://www.arrow.com</t>
  </si>
  <si>
    <t>Jetson Orin NX Carrier Board</t>
  </si>
  <si>
    <t>Seeed Studio / Amazon</t>
  </si>
  <si>
    <t>https://www.seeedstudio.com</t>
  </si>
  <si>
    <t>Samsung 990 EVO NVMe SSD 2 TB</t>
  </si>
  <si>
    <t>10 GbE SFP+ NIC (X310 connection)</t>
  </si>
  <si>
    <t>Intel / Amazon</t>
  </si>
  <si>
    <t>6.1</t>
  </si>
  <si>
    <t>NEMA 4X Steel Enclosure 24x20x10 w/ Pole Mount</t>
  </si>
  <si>
    <t>Altelix / Polycase</t>
  </si>
  <si>
    <t>6.2</t>
  </si>
  <si>
    <t>AC Power Supply 48V 800W (hardwired)</t>
  </si>
  <si>
    <t>Mean Well / Mouser</t>
  </si>
  <si>
    <t>https://www.mouser.com</t>
  </si>
  <si>
    <t>6.3</t>
  </si>
  <si>
    <t>UPS Battery Backup Module 12V</t>
  </si>
  <si>
    <t>CyberPower / Amazon</t>
  </si>
  <si>
    <t>7.1</t>
  </si>
  <si>
    <t>SMA/N-Type Cables, Adapters, Attenuators Kit</t>
  </si>
  <si>
    <t>7.2</t>
  </si>
  <si>
    <t>Cat6a Shielded Ethernet Cable (50 ft, outdoor)</t>
  </si>
  <si>
    <t>7.3</t>
  </si>
  <si>
    <t>RF Coax Low-Loss LMR-400 Cables (6 ft) x4</t>
  </si>
  <si>
    <t>7.4</t>
  </si>
  <si>
    <t>Cable Glands, Grounding Kit, Surge Protectors</t>
  </si>
  <si>
    <t>SUBTOTAL PER EA NODE (w/ DF ARRAY)</t>
  </si>
  <si>
    <t>x 10 EA Node Clusters (30 DF sub-nodes + 10 X310 TX)</t>
  </si>
  <si>
    <t>C2 Fusion Server &amp; Network Infrastructure</t>
  </si>
  <si>
    <t>Primary C2 (main cantonment) + Secondary C2 (ARCENT East) + expanded mesh gateway network</t>
  </si>
  <si>
    <t>Dell PowerEdge R660xs 1U Server (Xeon, 64GB, 2x2TB NVMe) — PRIMARY</t>
  </si>
  <si>
    <t>Dell Technologies</t>
  </si>
  <si>
    <t>https://www.dell.com</t>
  </si>
  <si>
    <t>Dell PowerEdge R660xs 1U Server — SECONDARY (ARCENT East)</t>
  </si>
  <si>
    <t>NVIDIA T1000 GPU (ML inference) x2</t>
  </si>
  <si>
    <t>NVIDIA / CDW</t>
  </si>
  <si>
    <t>https://www.cdw.com</t>
  </si>
  <si>
    <t>Dell 10 GbE Dual-Port SFP+ NIC x2</t>
  </si>
  <si>
    <t>APC Smart-UPS 1500VA Rack Mount x2</t>
  </si>
  <si>
    <t>APC / Amazon</t>
  </si>
  <si>
    <t>Cisco/Ubiquiti 48-Port Managed Switch (PoE+) — PRIMARY</t>
  </si>
  <si>
    <t>Ubiquiti / Amazon</t>
  </si>
  <si>
    <t>Cisco/Ubiquiti 24-Port Managed Switch (PoE+) — SECONDARY</t>
  </si>
  <si>
    <t>RFD900x-US Modem (mesh gateway nodes)</t>
  </si>
  <si>
    <t>900 MHz Yagi Antenna 9 dBi (gateway, long-haul)</t>
  </si>
  <si>
    <t>Fiber Optic Backbone Kit 1 km (C2 Primary ↔ Secondary)</t>
  </si>
  <si>
    <t>FS.com</t>
  </si>
  <si>
    <t>https://www.fs.com</t>
  </si>
  <si>
    <t>Dell Latitude 5540 Rugged Laptop (operator interface) x2</t>
  </si>
  <si>
    <t>27-inch Monitor (COP display) x4</t>
  </si>
  <si>
    <t>KVM Switch 4-port (multi-display COP)</t>
  </si>
  <si>
    <t>StarTech / Amazon</t>
  </si>
  <si>
    <t>GNU Radio (open source)</t>
  </si>
  <si>
    <t>GNU Radio Project</t>
  </si>
  <si>
    <t>https://www.gnuradio.org</t>
  </si>
  <si>
    <t>UHD Driver (open source)</t>
  </si>
  <si>
    <t>Ettus Research</t>
  </si>
  <si>
    <t>https://github.com/EttusResearch/uhd</t>
  </si>
  <si>
    <t>Python/PyTorch ML Stack (open source)</t>
  </si>
  <si>
    <t>PyTorch Foundation</t>
  </si>
  <si>
    <t>https://pytorch.org</t>
  </si>
  <si>
    <t>Core Software Dev: RF fingerprint, DF/TDOA, classify, C2 UI (640 hrs @ $150)</t>
  </si>
  <si>
    <t>Organic / Contractor</t>
  </si>
  <si>
    <t>N/A — labor</t>
  </si>
  <si>
    <t>6U Wall-Mount Server Rack w/ Fans x2</t>
  </si>
  <si>
    <t>Cabling, Patch Panels, Power Strips, Misc</t>
  </si>
  <si>
    <t>Various / Monoprice</t>
  </si>
  <si>
    <t>SUBTOTAL C2 &amp; INFRASTRUCTURE</t>
  </si>
  <si>
    <t>Acoustic / EO-IR Augmentation Layer</t>
  </si>
  <si>
    <t>Full Shaw: 24 acoustic arrays + 12 EO/IR turrets + software development</t>
  </si>
  <si>
    <t>ACOUSTIC SENSOR ARRAY NODE (Qty: 24 — full perimeter + all HVT sectors)</t>
  </si>
  <si>
    <t>Knowles SPH0645LM4H-B I2S MEMS Microphone (x16 per array)</t>
  </si>
  <si>
    <t>Knowles / Mouser</t>
  </si>
  <si>
    <t>Custom PCB, Circular Array Layout (16-ch, BF)</t>
  </si>
  <si>
    <t>PCBWay / JLCPCB</t>
  </si>
  <si>
    <t>https://www.pcbway.com</t>
  </si>
  <si>
    <t>Teensy 4.1 (Audio Shield + 16-ch TDM)</t>
  </si>
  <si>
    <t>PJRC / SparkFun</t>
  </si>
  <si>
    <t>https://www.sparkfun.com</t>
  </si>
  <si>
    <t>Acoustic Windscreen Foam Housing</t>
  </si>
  <si>
    <t>Custom / McMaster-Carr</t>
  </si>
  <si>
    <t>Samsung 990 EVO NVMe SSD 512 GB + M.2 HAT</t>
  </si>
  <si>
    <t>RFD900x-US Modem (NDAA Compliant)</t>
  </si>
  <si>
    <t>900 MHz Dipole Antenna 3 dBi</t>
  </si>
  <si>
    <t>GPS Module u-blox NEO-M9N (time sync)</t>
  </si>
  <si>
    <t>u-blox / SparkFun</t>
  </si>
  <si>
    <t>NEMA 4X Polycarbonate Enclosure 10x8x6 w/ Pole Mount</t>
  </si>
  <si>
    <t>100W Solar Panel Kit</t>
  </si>
  <si>
    <t>12V 30Ah LiFePO4 Battery</t>
  </si>
  <si>
    <t>MPPT Solar Charge Controller 10A</t>
  </si>
  <si>
    <t>12V to 5V USB-C Buck Converter</t>
  </si>
  <si>
    <t>Cables, Glands, Mounting Hardware Kit</t>
  </si>
  <si>
    <t>SUBTOTAL PER ACOUSTIC NODE</t>
  </si>
  <si>
    <t>x 24 Acoustic Nodes</t>
  </si>
  <si>
    <t>EO/IR TRACKING TURRET (Qty: 12 — flight line, munitions, cantonment, ARCENT, all approach corridors)</t>
  </si>
  <si>
    <t>SPI M1-D EO/IR PTZ Gimbal (LWIR + HD Zoom, stabilized)</t>
  </si>
  <si>
    <t>SPI Corp</t>
  </si>
  <si>
    <t>https://www.x20.org/product/m1-d-micro-ptz-infrared-camera/</t>
  </si>
  <si>
    <t>AI Auto-Tracker Module (MVP/9960)</t>
  </si>
  <si>
    <t>https://www.x20.org</t>
  </si>
  <si>
    <t>NVIDIA Jetson Orin Nano Super Dev Kit (CNN inference)</t>
  </si>
  <si>
    <t>8.1</t>
  </si>
  <si>
    <t>Heavy-Duty Pan-Tilt Pole Mount Bracket</t>
  </si>
  <si>
    <t>Dotworkz / Amazon</t>
  </si>
  <si>
    <t>8.2</t>
  </si>
  <si>
    <t>PoE++ Injector 60W</t>
  </si>
  <si>
    <t>9.1</t>
  </si>
  <si>
    <t>Cat6a Outdoor Shielded Ethernet 100 ft</t>
  </si>
  <si>
    <t>9.2</t>
  </si>
  <si>
    <t>IR Illuminator 850nm</t>
  </si>
  <si>
    <t>Vivotek / Amazon</t>
  </si>
  <si>
    <t>9.3</t>
  </si>
  <si>
    <t>Cables, Adapters, Weatherproofing Kit</t>
  </si>
  <si>
    <t>SUBTOTAL PER EO/IR TURRET</t>
  </si>
  <si>
    <t>x 12 EO/IR Turrets</t>
  </si>
  <si>
    <t>AUGMENTATION SOFTWARE DEVELOPMENT</t>
  </si>
  <si>
    <t>10.1</t>
  </si>
  <si>
    <t>Acoustic CNN Classifier (drone vs ambient)</t>
  </si>
  <si>
    <t>10.2</t>
  </si>
  <si>
    <t>EO/IR CNN Detector (aerial object detection)</t>
  </si>
  <si>
    <t>10.3</t>
  </si>
  <si>
    <t>Sensor Fusion Engine (acoustic + EO/IR + RF + radar)</t>
  </si>
  <si>
    <t>10.4</t>
  </si>
  <si>
    <t>C2 UI Integration (fused COP display)</t>
  </si>
  <si>
    <t>SUBTOTAL AUGMENTATION SOFTWARE</t>
  </si>
  <si>
    <t>TOTAL AUGMENTATION LAYER</t>
  </si>
  <si>
    <t>Echodyne EchoGuard Radar Layer</t>
  </si>
  <si>
    <t>Full Shaw AFB: 10 towers x 3 EchoGuard = 30 radars for complete 360° hemispherical coverage</t>
  </si>
  <si>
    <t>PER RADAR TOWER (3 EchoGuards per tower, Qty: 10 towers)</t>
  </si>
  <si>
    <t>Echodyne EchoGuard ESA Radar (K-band, 120° Az x 80° El)</t>
  </si>
  <si>
    <t>Echodyne</t>
  </si>
  <si>
    <t>https://www.echodyne.com/radar-solutions-1/echoguard/</t>
  </si>
  <si>
    <t>Echodyne Tower Mounting Kit (3-unit 360° config)</t>
  </si>
  <si>
    <t>Echodyne Software &amp; Support Package (per tower, annual)</t>
  </si>
  <si>
    <t>Echodyne RadarHub (multi-radar networking)</t>
  </si>
  <si>
    <t>Managed PoE++ Switch 8-Port</t>
  </si>
  <si>
    <t>Cat6a Outdoor Shielded Ethernet (50 ft) x3</t>
  </si>
  <si>
    <t>RFD900x-US Modem (mesh integration)</t>
  </si>
  <si>
    <t>Aluminum Radar Tower Mast 20 ft w/ Guy Wires</t>
  </si>
  <si>
    <t>Rohn / DX Engineering</t>
  </si>
  <si>
    <t>https://www.dxengineering.com</t>
  </si>
  <si>
    <t>AC Power Supply 48V 300W (hardwired)</t>
  </si>
  <si>
    <t>UPS Battery Backup 600VA</t>
  </si>
  <si>
    <t>NEMA 4X Steel Enclosure 16x12x8</t>
  </si>
  <si>
    <t>Lightning Arrestors, Grounding Kit, Surge Protection</t>
  </si>
  <si>
    <t>Polyphaser / Amazon</t>
  </si>
  <si>
    <t>Cable Glands, Conduit, Mounting Hardware</t>
  </si>
  <si>
    <t>SUBTOTAL PER RADAR TOWER (3 EchoGuards)</t>
  </si>
  <si>
    <t>x 10 Radar Towers (30 EchoGuard units total)</t>
  </si>
  <si>
    <t>RADAR INTEGRATION SOFTWARE</t>
  </si>
  <si>
    <t>Radar-to-C2 API Integration (TCP/IP → fusion)</t>
  </si>
  <si>
    <t>Multi-modal Track Fusion (radar + RF + acoustic + EO/IR)</t>
  </si>
  <si>
    <t>Radar-Cued EA Handoff Logic</t>
  </si>
  <si>
    <t>6.4</t>
  </si>
  <si>
    <t>COP Display (radar overlay, fused symbology)</t>
  </si>
  <si>
    <t>SUBTOTAL RADAR SOFTWARE</t>
  </si>
  <si>
    <t>TOTAL RADAR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</si>
</sst>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4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sz val="10"/>
      <color rgb="FF666666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9"/>
      <color rgb="FF666666"/>
      <name val="Arial"/>
      <charset val="1"/>
    </font>
    <font>
      <b/>
      <sz val="13"/>
      <color rgb="FF1F4E79"/>
      <name val="Arial"/>
      <charset val="1"/>
    </font>
    <font>
      <b/>
      <sz val="11"/>
      <color rgb="FF5B2C6F"/>
      <name val="Arial"/>
      <charset val="1"/>
    </font>
    <font>
      <b/>
      <sz val="12"/>
      <color rgb="FF5B2C6F"/>
      <name val="Arial"/>
      <charset val="1"/>
    </font>
    <font>
      <b/>
      <sz val="11"/>
      <color rgb="FF006400"/>
      <name val="Arial"/>
      <charset val="1"/>
    </font>
    <font>
      <b/>
      <sz val="12"/>
      <color rgb="FF0064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C6EFCE"/>
        <bgColor rgb="FFC6E0B4"/>
      </patternFill>
    </fill>
    <fill>
      <patternFill patternType="solid">
        <fgColor rgb="FFD6E4F0"/>
        <bgColor rgb="FFE8DAEF"/>
      </patternFill>
    </fill>
    <fill>
      <patternFill patternType="solid">
        <fgColor rgb="FFBDD7EE"/>
        <bgColor rgb="FFD6E4F0"/>
      </patternFill>
    </fill>
    <fill>
      <patternFill patternType="solid">
        <fgColor rgb="FFF2DCDB"/>
        <bgColor rgb="FFE8DAEF"/>
      </patternFill>
    </fill>
    <fill>
      <patternFill patternType="solid">
        <fgColor rgb="FFE8DAEF"/>
        <bgColor rgb="FFF2DCDB"/>
      </patternFill>
    </fill>
    <fill>
      <patternFill patternType="solid">
        <fgColor rgb="FFD7BDE2"/>
        <bgColor rgb="FFE8DAEF"/>
      </patternFill>
    </fill>
    <fill>
      <patternFill patternType="solid">
        <fgColor rgb="FFC6E0B4"/>
        <bgColor rgb="FFC6EFCE"/>
      </patternFill>
    </fill>
    <fill>
      <patternFill patternType="solid">
        <fgColor rgb="FFA9D18E"/>
        <bgColor rgb="FFC6E0B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2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/>
    <xf numFmtId="164" fontId="6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164" fontId="7" fillId="0" borderId="1" xfId="0" applyNumberFormat="1" applyFont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7" fillId="5" borderId="1" xfId="0" applyFont="1" applyFill="1" applyBorder="1"/>
    <xf numFmtId="0" fontId="0" fillId="5" borderId="1" xfId="0" applyFill="1" applyBorder="1"/>
    <xf numFmtId="164" fontId="7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1" fillId="0" borderId="0" xfId="0" applyFont="1"/>
    <xf numFmtId="164" fontId="11" fillId="9" borderId="2" xfId="0" applyNumberFormat="1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0" fontId="13" fillId="0" borderId="0" xfId="0" applyFont="1"/>
    <xf numFmtId="164" fontId="13" fillId="11" borderId="2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0" fillId="5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D7BDE2"/>
      <rgbColor rgb="FF808080"/>
      <rgbColor rgb="FF9999FF"/>
      <rgbColor rgb="FF993366"/>
      <rgbColor rgb="FFE2EFDA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AEF"/>
      <rgbColor rgb="FFC6EFCE"/>
      <rgbColor rgb="FFFFFF99"/>
      <rgbColor rgb="FFC6E0B4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66"/>
      <rgbColor rgb="FFA9D18E"/>
      <rgbColor rgb="FF003366"/>
      <rgbColor rgb="FF339966"/>
      <rgbColor rgb="FF003300"/>
      <rgbColor rgb="FF333300"/>
      <rgbColor rgb="FF993300"/>
      <rgbColor rgb="FF993366"/>
      <rgbColor rgb="FF1F4E79"/>
      <rgbColor rgb="FF5B2C6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Normal="100" workbookViewId="0">
      <selection activeCell="F4" sqref="F1:F1048576"/>
    </sheetView>
  </sheetViews>
  <sheetFormatPr baseColWidth="10" defaultColWidth="8.6640625" defaultRowHeight="15" x14ac:dyDescent="0.2"/>
  <cols>
    <col min="1" max="1" width="8" customWidth="1"/>
    <col min="2" max="2" width="36" customWidth="1"/>
    <col min="3" max="3" width="30" customWidth="1"/>
    <col min="4" max="4" width="50" customWidth="1"/>
    <col min="5" max="5" width="14" customWidth="1"/>
    <col min="6" max="6" width="8" style="32" customWidth="1"/>
    <col min="7" max="7" width="14" customWidth="1"/>
  </cols>
  <sheetData>
    <row r="1" spans="1:7" ht="18" x14ac:dyDescent="0.2">
      <c r="A1" s="7" t="s">
        <v>0</v>
      </c>
      <c r="B1" s="7"/>
      <c r="C1" s="7"/>
      <c r="D1" s="7"/>
      <c r="E1" s="7"/>
      <c r="F1" s="7"/>
      <c r="G1" s="7"/>
    </row>
    <row r="2" spans="1:7" x14ac:dyDescent="0.2">
      <c r="A2" s="6" t="s">
        <v>1</v>
      </c>
      <c r="B2" s="6"/>
      <c r="C2" s="6"/>
      <c r="D2" s="6"/>
      <c r="E2" s="6"/>
      <c r="F2" s="6"/>
      <c r="G2" s="6"/>
    </row>
    <row r="3" spans="1:7" ht="16" x14ac:dyDescent="0.2">
      <c r="A3" s="5" t="s">
        <v>2</v>
      </c>
      <c r="B3" s="5"/>
      <c r="C3" s="5"/>
      <c r="D3" s="5"/>
      <c r="E3" s="5"/>
      <c r="F3" s="5"/>
      <c r="G3" s="5"/>
    </row>
    <row r="5" spans="1:7" x14ac:dyDescent="0.2">
      <c r="A5" s="9"/>
      <c r="B5" s="9" t="s">
        <v>3</v>
      </c>
      <c r="C5" s="9"/>
      <c r="D5" s="9" t="s">
        <v>4</v>
      </c>
      <c r="E5" s="9"/>
      <c r="F5" s="29" t="s">
        <v>5</v>
      </c>
      <c r="G5" s="9" t="s">
        <v>6</v>
      </c>
    </row>
    <row r="6" spans="1:7" ht="28" x14ac:dyDescent="0.2">
      <c r="A6" s="10" t="s">
        <v>7</v>
      </c>
      <c r="B6" s="10" t="s">
        <v>8</v>
      </c>
      <c r="C6" s="10"/>
      <c r="D6" s="10" t="s">
        <v>9</v>
      </c>
      <c r="E6" s="11"/>
      <c r="F6" s="30">
        <v>30</v>
      </c>
      <c r="G6" s="11">
        <f>'RF Sensor Clusters'!G26</f>
        <v>115920</v>
      </c>
    </row>
    <row r="7" spans="1:7" ht="28" x14ac:dyDescent="0.2">
      <c r="A7" s="10" t="s">
        <v>10</v>
      </c>
      <c r="B7" s="10" t="s">
        <v>11</v>
      </c>
      <c r="C7" s="10"/>
      <c r="D7" s="10" t="s">
        <v>12</v>
      </c>
      <c r="E7" s="11"/>
      <c r="F7" s="30">
        <v>10</v>
      </c>
      <c r="G7" s="11">
        <f>'EA Nodes'!G34</f>
        <v>171480</v>
      </c>
    </row>
    <row r="8" spans="1:7" ht="28" x14ac:dyDescent="0.2">
      <c r="A8" s="10" t="s">
        <v>13</v>
      </c>
      <c r="B8" s="10" t="s">
        <v>14</v>
      </c>
      <c r="C8" s="10"/>
      <c r="D8" s="10" t="s">
        <v>15</v>
      </c>
      <c r="E8" s="11"/>
      <c r="F8" s="30">
        <v>1</v>
      </c>
      <c r="G8" s="11">
        <f>'C2 Server &amp; Infrastructure'!G24</f>
        <v>117590</v>
      </c>
    </row>
    <row r="9" spans="1:7" x14ac:dyDescent="0.2">
      <c r="A9" s="10" t="s">
        <v>16</v>
      </c>
      <c r="B9" s="10" t="s">
        <v>17</v>
      </c>
      <c r="C9" s="10"/>
      <c r="D9" s="10" t="s">
        <v>18</v>
      </c>
      <c r="E9" s="11"/>
      <c r="F9" s="30">
        <v>1</v>
      </c>
      <c r="G9" s="11">
        <f>'Acoustic EO-IR Augmentation'!G45</f>
        <v>200592</v>
      </c>
    </row>
    <row r="10" spans="1:7" ht="28" x14ac:dyDescent="0.2">
      <c r="A10" s="10" t="s">
        <v>19</v>
      </c>
      <c r="B10" s="10" t="s">
        <v>20</v>
      </c>
      <c r="C10" s="10"/>
      <c r="D10" s="10" t="s">
        <v>21</v>
      </c>
      <c r="E10" s="11"/>
      <c r="F10" s="30">
        <v>1</v>
      </c>
      <c r="G10" s="11">
        <f>'Radar Layer'!G31</f>
        <v>722550</v>
      </c>
    </row>
    <row r="12" spans="1:7" x14ac:dyDescent="0.2">
      <c r="B12" s="12" t="s">
        <v>22</v>
      </c>
      <c r="G12" s="13">
        <f>SUM(G6:G10)</f>
        <v>1328132</v>
      </c>
    </row>
    <row r="13" spans="1:7" x14ac:dyDescent="0.2">
      <c r="B13" s="14" t="s">
        <v>23</v>
      </c>
      <c r="G13" s="15">
        <f>G12*0.15</f>
        <v>199219.8</v>
      </c>
    </row>
    <row r="14" spans="1:7" x14ac:dyDescent="0.2">
      <c r="B14" s="14" t="s">
        <v>24</v>
      </c>
      <c r="G14" s="15">
        <f>G12*0.05</f>
        <v>66406.600000000006</v>
      </c>
    </row>
    <row r="15" spans="1:7" x14ac:dyDescent="0.2">
      <c r="B15" s="14" t="s">
        <v>25</v>
      </c>
      <c r="G15" s="15">
        <v>50000</v>
      </c>
    </row>
    <row r="17" spans="1:7" ht="18" x14ac:dyDescent="0.2">
      <c r="B17" s="8" t="s">
        <v>26</v>
      </c>
      <c r="G17" s="16">
        <f>G12+G13+G14+G15</f>
        <v>1643758.4000000001</v>
      </c>
    </row>
    <row r="19" spans="1:7" x14ac:dyDescent="0.2">
      <c r="A19" s="4" t="s">
        <v>27</v>
      </c>
      <c r="B19" s="4"/>
      <c r="C19" s="4"/>
      <c r="D19" s="4"/>
      <c r="E19" s="4"/>
      <c r="F19" s="4"/>
      <c r="G19" s="4"/>
    </row>
    <row r="20" spans="1:7" x14ac:dyDescent="0.2">
      <c r="A20" s="4" t="s">
        <v>28</v>
      </c>
      <c r="B20" s="4"/>
      <c r="C20" s="4"/>
      <c r="D20" s="4"/>
      <c r="E20" s="4"/>
      <c r="F20" s="4"/>
      <c r="G20" s="4"/>
    </row>
    <row r="21" spans="1:7" x14ac:dyDescent="0.2">
      <c r="A21" s="4" t="s">
        <v>29</v>
      </c>
      <c r="B21" s="4"/>
      <c r="C21" s="4"/>
      <c r="D21" s="4"/>
      <c r="E21" s="4"/>
      <c r="F21" s="4"/>
      <c r="G21" s="4"/>
    </row>
    <row r="22" spans="1:7" x14ac:dyDescent="0.2">
      <c r="A22" s="4" t="s">
        <v>30</v>
      </c>
      <c r="B22" s="4"/>
      <c r="C22" s="4"/>
      <c r="D22" s="4"/>
      <c r="E22" s="4"/>
      <c r="F22" s="4"/>
      <c r="G22" s="4"/>
    </row>
    <row r="23" spans="1:7" x14ac:dyDescent="0.2">
      <c r="A23" s="4" t="s">
        <v>31</v>
      </c>
      <c r="B23" s="4"/>
      <c r="C23" s="4"/>
      <c r="D23" s="4"/>
      <c r="E23" s="4"/>
      <c r="F23" s="4"/>
      <c r="G23" s="4"/>
    </row>
    <row r="24" spans="1:7" x14ac:dyDescent="0.2">
      <c r="A24" s="4" t="s">
        <v>32</v>
      </c>
      <c r="B24" s="4"/>
      <c r="C24" s="4"/>
      <c r="D24" s="4"/>
      <c r="E24" s="4"/>
      <c r="F24" s="4"/>
      <c r="G24" s="4"/>
    </row>
    <row r="25" spans="1:7" x14ac:dyDescent="0.2">
      <c r="A25" s="4" t="s">
        <v>33</v>
      </c>
      <c r="B25" s="4"/>
      <c r="C25" s="4"/>
      <c r="D25" s="4"/>
      <c r="E25" s="4"/>
      <c r="F25" s="4"/>
      <c r="G25" s="4"/>
    </row>
    <row r="26" spans="1:7" x14ac:dyDescent="0.2">
      <c r="A26" s="4" t="s">
        <v>34</v>
      </c>
      <c r="B26" s="4"/>
      <c r="C26" s="4"/>
      <c r="D26" s="4"/>
      <c r="E26" s="4"/>
      <c r="F26" s="4"/>
      <c r="G26" s="4"/>
    </row>
    <row r="27" spans="1:7" x14ac:dyDescent="0.2">
      <c r="A27" s="4" t="s">
        <v>35</v>
      </c>
      <c r="B27" s="4"/>
      <c r="C27" s="4"/>
      <c r="D27" s="4"/>
      <c r="E27" s="4"/>
      <c r="F27" s="4"/>
      <c r="G27" s="4"/>
    </row>
    <row r="28" spans="1:7" x14ac:dyDescent="0.2">
      <c r="A28" s="4" t="s">
        <v>36</v>
      </c>
      <c r="B28" s="4"/>
      <c r="C28" s="4"/>
      <c r="D28" s="4"/>
      <c r="E28" s="4"/>
      <c r="F28" s="4"/>
      <c r="G28" s="4"/>
    </row>
    <row r="29" spans="1:7" x14ac:dyDescent="0.2">
      <c r="A29" s="4" t="s">
        <v>37</v>
      </c>
      <c r="B29" s="4"/>
      <c r="C29" s="4"/>
      <c r="D29" s="4"/>
      <c r="E29" s="4"/>
      <c r="F29" s="4"/>
      <c r="G29" s="4"/>
    </row>
    <row r="30" spans="1:7" x14ac:dyDescent="0.2">
      <c r="A30" s="4" t="s">
        <v>38</v>
      </c>
      <c r="B30" s="4"/>
      <c r="C30" s="4"/>
      <c r="D30" s="4"/>
      <c r="E30" s="4"/>
      <c r="F30" s="4"/>
      <c r="G30" s="4"/>
    </row>
    <row r="31" spans="1:7" x14ac:dyDescent="0.2">
      <c r="A31" s="4" t="s">
        <v>39</v>
      </c>
      <c r="B31" s="4"/>
      <c r="C31" s="4"/>
      <c r="D31" s="4"/>
      <c r="E31" s="4"/>
      <c r="F31" s="4"/>
      <c r="G31" s="4"/>
    </row>
  </sheetData>
  <mergeCells count="16">
    <mergeCell ref="A31:G31"/>
    <mergeCell ref="A26:G26"/>
    <mergeCell ref="A27:G27"/>
    <mergeCell ref="A28:G28"/>
    <mergeCell ref="A29:G29"/>
    <mergeCell ref="A30:G30"/>
    <mergeCell ref="A21:G21"/>
    <mergeCell ref="A22:G22"/>
    <mergeCell ref="A23:G23"/>
    <mergeCell ref="A24:G24"/>
    <mergeCell ref="A25:G25"/>
    <mergeCell ref="A1:G1"/>
    <mergeCell ref="A2:G2"/>
    <mergeCell ref="A3:G3"/>
    <mergeCell ref="A19:G1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zoomScaleNormal="100" workbookViewId="0">
      <selection activeCell="F3" sqref="F1:F1048576"/>
    </sheetView>
  </sheetViews>
  <sheetFormatPr baseColWidth="10" defaultColWidth="8.6640625" defaultRowHeight="15" x14ac:dyDescent="0.2"/>
  <cols>
    <col min="1" max="1" width="8" customWidth="1"/>
    <col min="2" max="2" width="36" customWidth="1"/>
    <col min="3" max="3" width="30" customWidth="1"/>
    <col min="4" max="4" width="50" customWidth="1"/>
    <col min="5" max="5" width="14" customWidth="1"/>
    <col min="6" max="6" width="8" style="32" customWidth="1"/>
    <col min="7" max="7" width="14" customWidth="1"/>
  </cols>
  <sheetData>
    <row r="1" spans="1:7" ht="17" x14ac:dyDescent="0.2">
      <c r="A1" s="3" t="s">
        <v>40</v>
      </c>
      <c r="B1" s="3"/>
      <c r="C1" s="3"/>
      <c r="D1" s="3"/>
      <c r="E1" s="3"/>
      <c r="F1" s="3"/>
      <c r="G1" s="3"/>
    </row>
    <row r="2" spans="1:7" x14ac:dyDescent="0.2">
      <c r="A2" s="6" t="s">
        <v>41</v>
      </c>
      <c r="B2" s="6"/>
      <c r="C2" s="6"/>
      <c r="D2" s="6"/>
      <c r="E2" s="6"/>
      <c r="F2" s="6"/>
      <c r="G2" s="6"/>
    </row>
    <row r="4" spans="1:7" x14ac:dyDescent="0.2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  <c r="F4" s="29" t="s">
        <v>5</v>
      </c>
      <c r="G4" s="9" t="s">
        <v>47</v>
      </c>
    </row>
    <row r="5" spans="1:7" ht="28" x14ac:dyDescent="0.2">
      <c r="A5" s="10" t="s">
        <v>48</v>
      </c>
      <c r="B5" s="10" t="s">
        <v>49</v>
      </c>
      <c r="C5" s="10" t="s">
        <v>50</v>
      </c>
      <c r="D5" s="10" t="s">
        <v>51</v>
      </c>
      <c r="E5" s="11">
        <v>495</v>
      </c>
      <c r="F5" s="30">
        <v>3</v>
      </c>
      <c r="G5" s="11">
        <f t="shared" ref="G5:G24" si="0">E5*F5</f>
        <v>1485</v>
      </c>
    </row>
    <row r="6" spans="1:7" ht="28" x14ac:dyDescent="0.2">
      <c r="A6" s="10" t="s">
        <v>52</v>
      </c>
      <c r="B6" s="10" t="s">
        <v>53</v>
      </c>
      <c r="C6" s="10" t="s">
        <v>54</v>
      </c>
      <c r="D6" s="10" t="s">
        <v>55</v>
      </c>
      <c r="E6" s="11">
        <v>85</v>
      </c>
      <c r="F6" s="30">
        <v>3</v>
      </c>
      <c r="G6" s="11">
        <f t="shared" si="0"/>
        <v>255</v>
      </c>
    </row>
    <row r="7" spans="1:7" ht="28" x14ac:dyDescent="0.2">
      <c r="A7" s="10" t="s">
        <v>56</v>
      </c>
      <c r="B7" s="10" t="s">
        <v>57</v>
      </c>
      <c r="C7" s="10" t="s">
        <v>58</v>
      </c>
      <c r="D7" s="10" t="s">
        <v>59</v>
      </c>
      <c r="E7" s="11">
        <v>25</v>
      </c>
      <c r="F7" s="30">
        <v>3</v>
      </c>
      <c r="G7" s="11">
        <f t="shared" si="0"/>
        <v>75</v>
      </c>
    </row>
    <row r="8" spans="1:7" ht="28" x14ac:dyDescent="0.2">
      <c r="A8" s="10" t="s">
        <v>60</v>
      </c>
      <c r="B8" s="10" t="s">
        <v>61</v>
      </c>
      <c r="C8" s="10" t="s">
        <v>62</v>
      </c>
      <c r="D8" s="10" t="s">
        <v>63</v>
      </c>
      <c r="E8" s="11">
        <v>250</v>
      </c>
      <c r="F8" s="30">
        <v>1</v>
      </c>
      <c r="G8" s="11">
        <f t="shared" si="0"/>
        <v>250</v>
      </c>
    </row>
    <row r="9" spans="1:7" ht="28" x14ac:dyDescent="0.2">
      <c r="A9" s="10" t="s">
        <v>64</v>
      </c>
      <c r="B9" s="10" t="s">
        <v>65</v>
      </c>
      <c r="C9" s="10" t="s">
        <v>66</v>
      </c>
      <c r="D9" s="10" t="s">
        <v>67</v>
      </c>
      <c r="E9" s="11">
        <v>25</v>
      </c>
      <c r="F9" s="30">
        <v>1</v>
      </c>
      <c r="G9" s="11">
        <f t="shared" si="0"/>
        <v>25</v>
      </c>
    </row>
    <row r="10" spans="1:7" ht="28" x14ac:dyDescent="0.2">
      <c r="A10" s="10" t="s">
        <v>68</v>
      </c>
      <c r="B10" s="10" t="s">
        <v>69</v>
      </c>
      <c r="C10" s="10" t="s">
        <v>70</v>
      </c>
      <c r="D10" s="10" t="s">
        <v>71</v>
      </c>
      <c r="E10" s="11">
        <v>220</v>
      </c>
      <c r="F10" s="30">
        <v>1</v>
      </c>
      <c r="G10" s="11">
        <f t="shared" si="0"/>
        <v>220</v>
      </c>
    </row>
    <row r="11" spans="1:7" ht="28" x14ac:dyDescent="0.2">
      <c r="A11" s="10" t="s">
        <v>72</v>
      </c>
      <c r="B11" s="10" t="s">
        <v>73</v>
      </c>
      <c r="C11" s="10" t="s">
        <v>74</v>
      </c>
      <c r="D11" s="10" t="s">
        <v>75</v>
      </c>
      <c r="E11" s="11">
        <v>45</v>
      </c>
      <c r="F11" s="30">
        <v>1</v>
      </c>
      <c r="G11" s="11">
        <f t="shared" si="0"/>
        <v>45</v>
      </c>
    </row>
    <row r="12" spans="1:7" ht="28" x14ac:dyDescent="0.2">
      <c r="A12" s="10" t="s">
        <v>76</v>
      </c>
      <c r="B12" s="10" t="s">
        <v>77</v>
      </c>
      <c r="C12" s="10" t="s">
        <v>78</v>
      </c>
      <c r="D12" s="10" t="s">
        <v>79</v>
      </c>
      <c r="E12" s="11">
        <v>249</v>
      </c>
      <c r="F12" s="30">
        <v>1</v>
      </c>
      <c r="G12" s="11">
        <f t="shared" si="0"/>
        <v>249</v>
      </c>
    </row>
    <row r="13" spans="1:7" ht="28" x14ac:dyDescent="0.2">
      <c r="A13" s="10" t="s">
        <v>80</v>
      </c>
      <c r="B13" s="10" t="s">
        <v>81</v>
      </c>
      <c r="C13" s="10" t="s">
        <v>82</v>
      </c>
      <c r="D13" s="10" t="s">
        <v>75</v>
      </c>
      <c r="E13" s="11">
        <v>110</v>
      </c>
      <c r="F13" s="30">
        <v>1</v>
      </c>
      <c r="G13" s="11">
        <f t="shared" si="0"/>
        <v>110</v>
      </c>
    </row>
    <row r="14" spans="1:7" ht="28" x14ac:dyDescent="0.2">
      <c r="A14" s="10" t="s">
        <v>83</v>
      </c>
      <c r="B14" s="10" t="s">
        <v>84</v>
      </c>
      <c r="C14" s="10" t="s">
        <v>85</v>
      </c>
      <c r="D14" s="10" t="s">
        <v>86</v>
      </c>
      <c r="E14" s="11">
        <v>175</v>
      </c>
      <c r="F14" s="30">
        <v>1</v>
      </c>
      <c r="G14" s="11">
        <f t="shared" si="0"/>
        <v>175</v>
      </c>
    </row>
    <row r="15" spans="1:7" ht="28" x14ac:dyDescent="0.2">
      <c r="A15" s="10" t="s">
        <v>87</v>
      </c>
      <c r="B15" s="10" t="s">
        <v>88</v>
      </c>
      <c r="C15" s="10" t="s">
        <v>89</v>
      </c>
      <c r="D15" s="10" t="s">
        <v>90</v>
      </c>
      <c r="E15" s="11">
        <v>15</v>
      </c>
      <c r="F15" s="30">
        <v>2</v>
      </c>
      <c r="G15" s="11">
        <f t="shared" si="0"/>
        <v>30</v>
      </c>
    </row>
    <row r="16" spans="1:7" ht="28" x14ac:dyDescent="0.2">
      <c r="A16" s="10" t="s">
        <v>91</v>
      </c>
      <c r="B16" s="10" t="s">
        <v>92</v>
      </c>
      <c r="C16" s="10" t="s">
        <v>93</v>
      </c>
      <c r="D16" s="10" t="s">
        <v>94</v>
      </c>
      <c r="E16" s="11">
        <v>160</v>
      </c>
      <c r="F16" s="30">
        <v>1</v>
      </c>
      <c r="G16" s="11">
        <f t="shared" si="0"/>
        <v>160</v>
      </c>
    </row>
    <row r="17" spans="1:7" x14ac:dyDescent="0.2">
      <c r="A17" s="10" t="s">
        <v>95</v>
      </c>
      <c r="B17" s="10" t="s">
        <v>96</v>
      </c>
      <c r="C17" s="10" t="s">
        <v>97</v>
      </c>
      <c r="D17" s="10" t="s">
        <v>75</v>
      </c>
      <c r="E17" s="11">
        <v>180</v>
      </c>
      <c r="F17" s="30">
        <v>1</v>
      </c>
      <c r="G17" s="11">
        <f t="shared" si="0"/>
        <v>180</v>
      </c>
    </row>
    <row r="18" spans="1:7" x14ac:dyDescent="0.2">
      <c r="A18" s="10" t="s">
        <v>98</v>
      </c>
      <c r="B18" s="10" t="s">
        <v>99</v>
      </c>
      <c r="C18" s="10" t="s">
        <v>100</v>
      </c>
      <c r="D18" s="10" t="s">
        <v>75</v>
      </c>
      <c r="E18" s="11">
        <v>280</v>
      </c>
      <c r="F18" s="30">
        <v>1</v>
      </c>
      <c r="G18" s="11">
        <f t="shared" si="0"/>
        <v>280</v>
      </c>
    </row>
    <row r="19" spans="1:7" x14ac:dyDescent="0.2">
      <c r="A19" s="10" t="s">
        <v>101</v>
      </c>
      <c r="B19" s="10" t="s">
        <v>102</v>
      </c>
      <c r="C19" s="10" t="s">
        <v>103</v>
      </c>
      <c r="D19" s="10" t="s">
        <v>75</v>
      </c>
      <c r="E19" s="11">
        <v>120</v>
      </c>
      <c r="F19" s="30">
        <v>1</v>
      </c>
      <c r="G19" s="11">
        <f t="shared" si="0"/>
        <v>120</v>
      </c>
    </row>
    <row r="20" spans="1:7" x14ac:dyDescent="0.2">
      <c r="A20" s="10" t="s">
        <v>104</v>
      </c>
      <c r="B20" s="10" t="s">
        <v>105</v>
      </c>
      <c r="C20" s="10" t="s">
        <v>106</v>
      </c>
      <c r="D20" s="10" t="s">
        <v>75</v>
      </c>
      <c r="E20" s="11">
        <v>12</v>
      </c>
      <c r="F20" s="30">
        <v>3</v>
      </c>
      <c r="G20" s="11">
        <f t="shared" si="0"/>
        <v>36</v>
      </c>
    </row>
    <row r="21" spans="1:7" ht="28" x14ac:dyDescent="0.2">
      <c r="A21" s="10" t="s">
        <v>107</v>
      </c>
      <c r="B21" s="10" t="s">
        <v>108</v>
      </c>
      <c r="C21" s="10" t="s">
        <v>109</v>
      </c>
      <c r="D21" s="10" t="s">
        <v>59</v>
      </c>
      <c r="E21" s="11">
        <v>90</v>
      </c>
      <c r="F21" s="30">
        <v>1</v>
      </c>
      <c r="G21" s="11">
        <f t="shared" si="0"/>
        <v>90</v>
      </c>
    </row>
    <row r="22" spans="1:7" ht="28" x14ac:dyDescent="0.2">
      <c r="A22" s="10" t="s">
        <v>110</v>
      </c>
      <c r="B22" s="10" t="s">
        <v>111</v>
      </c>
      <c r="C22" s="10" t="s">
        <v>112</v>
      </c>
      <c r="D22" s="10" t="s">
        <v>113</v>
      </c>
      <c r="E22" s="11">
        <v>15</v>
      </c>
      <c r="F22" s="30">
        <v>2</v>
      </c>
      <c r="G22" s="11">
        <f t="shared" si="0"/>
        <v>30</v>
      </c>
    </row>
    <row r="23" spans="1:7" ht="28" x14ac:dyDescent="0.2">
      <c r="A23" s="10" t="s">
        <v>114</v>
      </c>
      <c r="B23" s="10" t="s">
        <v>115</v>
      </c>
      <c r="C23" s="10" t="s">
        <v>116</v>
      </c>
      <c r="D23" s="10" t="s">
        <v>75</v>
      </c>
      <c r="E23" s="11">
        <v>35</v>
      </c>
      <c r="F23" s="30">
        <v>1</v>
      </c>
      <c r="G23" s="11">
        <f t="shared" si="0"/>
        <v>35</v>
      </c>
    </row>
    <row r="24" spans="1:7" x14ac:dyDescent="0.2">
      <c r="A24" s="10" t="s">
        <v>117</v>
      </c>
      <c r="B24" s="10" t="s">
        <v>118</v>
      </c>
      <c r="C24" s="10" t="s">
        <v>82</v>
      </c>
      <c r="D24" s="10" t="s">
        <v>75</v>
      </c>
      <c r="E24" s="11">
        <v>14</v>
      </c>
      <c r="F24" s="30">
        <v>1</v>
      </c>
      <c r="G24" s="11">
        <f t="shared" si="0"/>
        <v>14</v>
      </c>
    </row>
    <row r="25" spans="1:7" x14ac:dyDescent="0.2">
      <c r="A25" s="17" t="s">
        <v>119</v>
      </c>
      <c r="B25" s="18"/>
      <c r="C25" s="18"/>
      <c r="D25" s="18"/>
      <c r="E25" s="18"/>
      <c r="F25" s="31"/>
      <c r="G25" s="19">
        <f>SUM(G5:G24)</f>
        <v>3864</v>
      </c>
    </row>
    <row r="26" spans="1:7" x14ac:dyDescent="0.2">
      <c r="B26" s="14" t="s">
        <v>120</v>
      </c>
      <c r="G26" s="20">
        <f>G25*30</f>
        <v>115920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zoomScaleNormal="100" workbookViewId="0">
      <selection activeCell="F3" sqref="F1:F1048576"/>
    </sheetView>
  </sheetViews>
  <sheetFormatPr baseColWidth="10" defaultColWidth="8.6640625" defaultRowHeight="15" x14ac:dyDescent="0.2"/>
  <cols>
    <col min="1" max="1" width="8" customWidth="1"/>
    <col min="2" max="2" width="36" customWidth="1"/>
    <col min="3" max="3" width="30" customWidth="1"/>
    <col min="4" max="4" width="50" customWidth="1"/>
    <col min="5" max="5" width="14" customWidth="1"/>
    <col min="6" max="6" width="8" style="32" customWidth="1"/>
    <col min="7" max="7" width="14" customWidth="1"/>
  </cols>
  <sheetData>
    <row r="1" spans="1:7" ht="17" x14ac:dyDescent="0.2">
      <c r="A1" s="3" t="s">
        <v>121</v>
      </c>
      <c r="B1" s="3"/>
      <c r="C1" s="3"/>
      <c r="D1" s="3"/>
      <c r="E1" s="3"/>
      <c r="F1" s="3"/>
      <c r="G1" s="3"/>
    </row>
    <row r="2" spans="1:7" x14ac:dyDescent="0.2">
      <c r="A2" s="6" t="s">
        <v>122</v>
      </c>
      <c r="B2" s="6"/>
      <c r="C2" s="6"/>
      <c r="D2" s="6"/>
      <c r="E2" s="6"/>
      <c r="F2" s="6"/>
      <c r="G2" s="6"/>
    </row>
    <row r="4" spans="1:7" x14ac:dyDescent="0.2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  <c r="F4" s="29" t="s">
        <v>5</v>
      </c>
      <c r="G4" s="9" t="s">
        <v>47</v>
      </c>
    </row>
    <row r="5" spans="1:7" ht="28" x14ac:dyDescent="0.2">
      <c r="A5" s="10" t="s">
        <v>48</v>
      </c>
      <c r="B5" s="10" t="s">
        <v>123</v>
      </c>
      <c r="C5" s="10" t="s">
        <v>50</v>
      </c>
      <c r="D5" s="10" t="s">
        <v>51</v>
      </c>
      <c r="E5" s="11">
        <v>495</v>
      </c>
      <c r="F5" s="30">
        <v>3</v>
      </c>
      <c r="G5" s="11">
        <f t="shared" ref="G5:G32" si="0">E5*F5</f>
        <v>1485</v>
      </c>
    </row>
    <row r="6" spans="1:7" ht="28" x14ac:dyDescent="0.2">
      <c r="A6" s="10" t="s">
        <v>52</v>
      </c>
      <c r="B6" s="10" t="s">
        <v>124</v>
      </c>
      <c r="C6" s="10" t="s">
        <v>54</v>
      </c>
      <c r="D6" s="10" t="s">
        <v>55</v>
      </c>
      <c r="E6" s="11">
        <v>85</v>
      </c>
      <c r="F6" s="30">
        <v>3</v>
      </c>
      <c r="G6" s="11">
        <f t="shared" si="0"/>
        <v>255</v>
      </c>
    </row>
    <row r="7" spans="1:7" ht="28" x14ac:dyDescent="0.2">
      <c r="A7" s="10" t="s">
        <v>56</v>
      </c>
      <c r="B7" s="10" t="s">
        <v>125</v>
      </c>
      <c r="C7" s="10" t="s">
        <v>58</v>
      </c>
      <c r="D7" s="10" t="s">
        <v>59</v>
      </c>
      <c r="E7" s="11">
        <v>25</v>
      </c>
      <c r="F7" s="30">
        <v>3</v>
      </c>
      <c r="G7" s="11">
        <f t="shared" si="0"/>
        <v>75</v>
      </c>
    </row>
    <row r="8" spans="1:7" ht="28" x14ac:dyDescent="0.2">
      <c r="A8" s="10" t="s">
        <v>60</v>
      </c>
      <c r="B8" s="10" t="s">
        <v>126</v>
      </c>
      <c r="C8" s="10" t="s">
        <v>62</v>
      </c>
      <c r="D8" s="10" t="s">
        <v>63</v>
      </c>
      <c r="E8" s="11">
        <v>250</v>
      </c>
      <c r="F8" s="30">
        <v>1</v>
      </c>
      <c r="G8" s="11">
        <f t="shared" si="0"/>
        <v>250</v>
      </c>
    </row>
    <row r="9" spans="1:7" ht="28" x14ac:dyDescent="0.2">
      <c r="A9" s="10" t="s">
        <v>64</v>
      </c>
      <c r="B9" s="10" t="s">
        <v>127</v>
      </c>
      <c r="C9" s="10" t="s">
        <v>66</v>
      </c>
      <c r="D9" s="10" t="s">
        <v>67</v>
      </c>
      <c r="E9" s="11">
        <v>30</v>
      </c>
      <c r="F9" s="30">
        <v>1</v>
      </c>
      <c r="G9" s="11">
        <f t="shared" si="0"/>
        <v>30</v>
      </c>
    </row>
    <row r="10" spans="1:7" ht="28" x14ac:dyDescent="0.2">
      <c r="A10" s="10" t="s">
        <v>68</v>
      </c>
      <c r="B10" s="10" t="s">
        <v>69</v>
      </c>
      <c r="C10" s="10" t="s">
        <v>70</v>
      </c>
      <c r="D10" s="10" t="s">
        <v>71</v>
      </c>
      <c r="E10" s="11">
        <v>220</v>
      </c>
      <c r="F10" s="30">
        <v>1</v>
      </c>
      <c r="G10" s="11">
        <f t="shared" si="0"/>
        <v>220</v>
      </c>
    </row>
    <row r="11" spans="1:7" x14ac:dyDescent="0.2">
      <c r="A11" s="10" t="s">
        <v>72</v>
      </c>
      <c r="B11" s="10" t="s">
        <v>128</v>
      </c>
      <c r="C11" s="10" t="s">
        <v>74</v>
      </c>
      <c r="D11" s="10" t="s">
        <v>75</v>
      </c>
      <c r="E11" s="11">
        <v>45</v>
      </c>
      <c r="F11" s="30">
        <v>1</v>
      </c>
      <c r="G11" s="11">
        <f t="shared" si="0"/>
        <v>45</v>
      </c>
    </row>
    <row r="12" spans="1:7" ht="28" x14ac:dyDescent="0.2">
      <c r="A12" s="10" t="s">
        <v>76</v>
      </c>
      <c r="B12" s="10" t="s">
        <v>129</v>
      </c>
      <c r="C12" s="10" t="s">
        <v>50</v>
      </c>
      <c r="D12" s="10" t="s">
        <v>130</v>
      </c>
      <c r="E12" s="11">
        <v>5495</v>
      </c>
      <c r="F12" s="30">
        <v>1</v>
      </c>
      <c r="G12" s="11">
        <f t="shared" si="0"/>
        <v>5495</v>
      </c>
    </row>
    <row r="13" spans="1:7" ht="28" x14ac:dyDescent="0.2">
      <c r="A13" s="10" t="s">
        <v>80</v>
      </c>
      <c r="B13" s="10" t="s">
        <v>131</v>
      </c>
      <c r="C13" s="10" t="s">
        <v>50</v>
      </c>
      <c r="D13" s="10" t="s">
        <v>132</v>
      </c>
      <c r="E13" s="11">
        <v>2150</v>
      </c>
      <c r="F13" s="30">
        <v>2</v>
      </c>
      <c r="G13" s="11">
        <f t="shared" si="0"/>
        <v>4300</v>
      </c>
    </row>
    <row r="14" spans="1:7" x14ac:dyDescent="0.2">
      <c r="A14" s="10" t="s">
        <v>133</v>
      </c>
      <c r="B14" s="10" t="s">
        <v>134</v>
      </c>
      <c r="C14" s="10" t="s">
        <v>66</v>
      </c>
      <c r="D14" s="10" t="s">
        <v>67</v>
      </c>
      <c r="E14" s="11">
        <v>650</v>
      </c>
      <c r="F14" s="30">
        <v>1</v>
      </c>
      <c r="G14" s="11">
        <f t="shared" si="0"/>
        <v>650</v>
      </c>
    </row>
    <row r="15" spans="1:7" x14ac:dyDescent="0.2">
      <c r="A15" s="10" t="s">
        <v>135</v>
      </c>
      <c r="B15" s="10" t="s">
        <v>136</v>
      </c>
      <c r="C15" s="10" t="s">
        <v>66</v>
      </c>
      <c r="D15" s="10" t="s">
        <v>67</v>
      </c>
      <c r="E15" s="11">
        <v>750</v>
      </c>
      <c r="F15" s="30">
        <v>1</v>
      </c>
      <c r="G15" s="11">
        <f t="shared" si="0"/>
        <v>750</v>
      </c>
    </row>
    <row r="16" spans="1:7" x14ac:dyDescent="0.2">
      <c r="A16" s="10" t="s">
        <v>137</v>
      </c>
      <c r="B16" s="10" t="s">
        <v>138</v>
      </c>
      <c r="C16" s="10" t="s">
        <v>139</v>
      </c>
      <c r="D16" s="10" t="s">
        <v>140</v>
      </c>
      <c r="E16" s="11">
        <v>800</v>
      </c>
      <c r="F16" s="30">
        <v>1</v>
      </c>
      <c r="G16" s="11">
        <f t="shared" si="0"/>
        <v>800</v>
      </c>
    </row>
    <row r="17" spans="1:7" ht="28" x14ac:dyDescent="0.2">
      <c r="A17" s="10" t="s">
        <v>83</v>
      </c>
      <c r="B17" s="10" t="s">
        <v>141</v>
      </c>
      <c r="C17" s="10" t="s">
        <v>142</v>
      </c>
      <c r="D17" s="10" t="s">
        <v>143</v>
      </c>
      <c r="E17" s="11">
        <v>95</v>
      </c>
      <c r="F17" s="30">
        <v>2</v>
      </c>
      <c r="G17" s="11">
        <f t="shared" si="0"/>
        <v>190</v>
      </c>
    </row>
    <row r="18" spans="1:7" ht="28" x14ac:dyDescent="0.2">
      <c r="A18" s="10" t="s">
        <v>87</v>
      </c>
      <c r="B18" s="10" t="s">
        <v>144</v>
      </c>
      <c r="C18" s="10" t="s">
        <v>142</v>
      </c>
      <c r="D18" s="10" t="s">
        <v>143</v>
      </c>
      <c r="E18" s="11">
        <v>110</v>
      </c>
      <c r="F18" s="30">
        <v>2</v>
      </c>
      <c r="G18" s="11">
        <f t="shared" si="0"/>
        <v>220</v>
      </c>
    </row>
    <row r="19" spans="1:7" x14ac:dyDescent="0.2">
      <c r="A19" s="10" t="s">
        <v>145</v>
      </c>
      <c r="B19" s="10" t="s">
        <v>146</v>
      </c>
      <c r="C19" s="10" t="s">
        <v>147</v>
      </c>
      <c r="D19" s="10" t="s">
        <v>148</v>
      </c>
      <c r="E19" s="11">
        <v>45</v>
      </c>
      <c r="F19" s="30">
        <v>1</v>
      </c>
      <c r="G19" s="11">
        <f t="shared" si="0"/>
        <v>45</v>
      </c>
    </row>
    <row r="20" spans="1:7" ht="28" x14ac:dyDescent="0.2">
      <c r="A20" s="10" t="s">
        <v>149</v>
      </c>
      <c r="B20" s="10" t="s">
        <v>150</v>
      </c>
      <c r="C20" s="10" t="s">
        <v>142</v>
      </c>
      <c r="D20" s="10" t="s">
        <v>143</v>
      </c>
      <c r="E20" s="11">
        <v>65</v>
      </c>
      <c r="F20" s="30">
        <v>1</v>
      </c>
      <c r="G20" s="11">
        <f t="shared" si="0"/>
        <v>65</v>
      </c>
    </row>
    <row r="21" spans="1:7" ht="28" x14ac:dyDescent="0.2">
      <c r="A21" s="10" t="s">
        <v>91</v>
      </c>
      <c r="B21" s="10" t="s">
        <v>151</v>
      </c>
      <c r="C21" s="10" t="s">
        <v>152</v>
      </c>
      <c r="D21" s="10" t="s">
        <v>153</v>
      </c>
      <c r="E21" s="11">
        <v>699</v>
      </c>
      <c r="F21" s="30">
        <v>1</v>
      </c>
      <c r="G21" s="11">
        <f t="shared" si="0"/>
        <v>699</v>
      </c>
    </row>
    <row r="22" spans="1:7" x14ac:dyDescent="0.2">
      <c r="A22" s="10" t="s">
        <v>95</v>
      </c>
      <c r="B22" s="10" t="s">
        <v>154</v>
      </c>
      <c r="C22" s="10" t="s">
        <v>155</v>
      </c>
      <c r="D22" s="10" t="s">
        <v>156</v>
      </c>
      <c r="E22" s="11">
        <v>149</v>
      </c>
      <c r="F22" s="30">
        <v>1</v>
      </c>
      <c r="G22" s="11">
        <f t="shared" si="0"/>
        <v>149</v>
      </c>
    </row>
    <row r="23" spans="1:7" x14ac:dyDescent="0.2">
      <c r="A23" s="10" t="s">
        <v>98</v>
      </c>
      <c r="B23" s="10" t="s">
        <v>157</v>
      </c>
      <c r="C23" s="10" t="s">
        <v>82</v>
      </c>
      <c r="D23" s="10" t="s">
        <v>75</v>
      </c>
      <c r="E23" s="11">
        <v>150</v>
      </c>
      <c r="F23" s="30">
        <v>1</v>
      </c>
      <c r="G23" s="11">
        <f t="shared" si="0"/>
        <v>150</v>
      </c>
    </row>
    <row r="24" spans="1:7" ht="28" x14ac:dyDescent="0.2">
      <c r="A24" s="10" t="s">
        <v>107</v>
      </c>
      <c r="B24" s="10" t="s">
        <v>84</v>
      </c>
      <c r="C24" s="10" t="s">
        <v>85</v>
      </c>
      <c r="D24" s="10" t="s">
        <v>86</v>
      </c>
      <c r="E24" s="11">
        <v>175</v>
      </c>
      <c r="F24" s="30">
        <v>1</v>
      </c>
      <c r="G24" s="11">
        <f t="shared" si="0"/>
        <v>175</v>
      </c>
    </row>
    <row r="25" spans="1:7" x14ac:dyDescent="0.2">
      <c r="A25" s="10" t="s">
        <v>110</v>
      </c>
      <c r="B25" s="10" t="s">
        <v>158</v>
      </c>
      <c r="C25" s="10" t="s">
        <v>159</v>
      </c>
      <c r="D25" s="10" t="s">
        <v>75</v>
      </c>
      <c r="E25" s="11">
        <v>85</v>
      </c>
      <c r="F25" s="30">
        <v>1</v>
      </c>
      <c r="G25" s="11">
        <f t="shared" si="0"/>
        <v>85</v>
      </c>
    </row>
    <row r="26" spans="1:7" ht="28" x14ac:dyDescent="0.2">
      <c r="A26" s="10" t="s">
        <v>160</v>
      </c>
      <c r="B26" s="10" t="s">
        <v>161</v>
      </c>
      <c r="C26" s="10" t="s">
        <v>162</v>
      </c>
      <c r="D26" s="10" t="s">
        <v>94</v>
      </c>
      <c r="E26" s="11">
        <v>350</v>
      </c>
      <c r="F26" s="30">
        <v>1</v>
      </c>
      <c r="G26" s="11">
        <f t="shared" si="0"/>
        <v>350</v>
      </c>
    </row>
    <row r="27" spans="1:7" x14ac:dyDescent="0.2">
      <c r="A27" s="10" t="s">
        <v>163</v>
      </c>
      <c r="B27" s="10" t="s">
        <v>164</v>
      </c>
      <c r="C27" s="10" t="s">
        <v>165</v>
      </c>
      <c r="D27" s="10" t="s">
        <v>166</v>
      </c>
      <c r="E27" s="11">
        <v>130</v>
      </c>
      <c r="F27" s="30">
        <v>1</v>
      </c>
      <c r="G27" s="11">
        <f t="shared" si="0"/>
        <v>130</v>
      </c>
    </row>
    <row r="28" spans="1:7" x14ac:dyDescent="0.2">
      <c r="A28" s="10" t="s">
        <v>167</v>
      </c>
      <c r="B28" s="10" t="s">
        <v>168</v>
      </c>
      <c r="C28" s="10" t="s">
        <v>169</v>
      </c>
      <c r="D28" s="10" t="s">
        <v>75</v>
      </c>
      <c r="E28" s="11">
        <v>120</v>
      </c>
      <c r="F28" s="30">
        <v>1</v>
      </c>
      <c r="G28" s="11">
        <f t="shared" si="0"/>
        <v>120</v>
      </c>
    </row>
    <row r="29" spans="1:7" ht="28" x14ac:dyDescent="0.2">
      <c r="A29" s="10" t="s">
        <v>170</v>
      </c>
      <c r="B29" s="10" t="s">
        <v>171</v>
      </c>
      <c r="C29" s="10" t="s">
        <v>109</v>
      </c>
      <c r="D29" s="10" t="s">
        <v>59</v>
      </c>
      <c r="E29" s="11">
        <v>160</v>
      </c>
      <c r="F29" s="30">
        <v>1</v>
      </c>
      <c r="G29" s="11">
        <f t="shared" si="0"/>
        <v>160</v>
      </c>
    </row>
    <row r="30" spans="1:7" ht="28" x14ac:dyDescent="0.2">
      <c r="A30" s="10" t="s">
        <v>172</v>
      </c>
      <c r="B30" s="10" t="s">
        <v>173</v>
      </c>
      <c r="C30" s="10" t="s">
        <v>112</v>
      </c>
      <c r="D30" s="10" t="s">
        <v>113</v>
      </c>
      <c r="E30" s="11">
        <v>25</v>
      </c>
      <c r="F30" s="30">
        <v>2</v>
      </c>
      <c r="G30" s="11">
        <f t="shared" si="0"/>
        <v>50</v>
      </c>
    </row>
    <row r="31" spans="1:7" x14ac:dyDescent="0.2">
      <c r="A31" s="10" t="s">
        <v>174</v>
      </c>
      <c r="B31" s="10" t="s">
        <v>175</v>
      </c>
      <c r="C31" s="10" t="s">
        <v>58</v>
      </c>
      <c r="D31" s="10" t="s">
        <v>59</v>
      </c>
      <c r="E31" s="11">
        <v>30</v>
      </c>
      <c r="F31" s="30">
        <v>4</v>
      </c>
      <c r="G31" s="11">
        <f t="shared" si="0"/>
        <v>120</v>
      </c>
    </row>
    <row r="32" spans="1:7" ht="28" x14ac:dyDescent="0.2">
      <c r="A32" s="10" t="s">
        <v>176</v>
      </c>
      <c r="B32" s="10" t="s">
        <v>177</v>
      </c>
      <c r="C32" s="10" t="s">
        <v>116</v>
      </c>
      <c r="D32" s="10" t="s">
        <v>75</v>
      </c>
      <c r="E32" s="11">
        <v>85</v>
      </c>
      <c r="F32" s="30">
        <v>1</v>
      </c>
      <c r="G32" s="11">
        <f t="shared" si="0"/>
        <v>85</v>
      </c>
    </row>
    <row r="33" spans="1:7" x14ac:dyDescent="0.2">
      <c r="A33" s="17" t="s">
        <v>178</v>
      </c>
      <c r="B33" s="18"/>
      <c r="C33" s="18"/>
      <c r="D33" s="18"/>
      <c r="E33" s="18"/>
      <c r="F33" s="31"/>
      <c r="G33" s="19">
        <f>SUM(G5:G32)</f>
        <v>17148</v>
      </c>
    </row>
    <row r="34" spans="1:7" x14ac:dyDescent="0.2">
      <c r="B34" s="14" t="s">
        <v>179</v>
      </c>
      <c r="G34" s="21">
        <f>G33*10</f>
        <v>171480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zoomScaleNormal="100" workbookViewId="0">
      <selection activeCell="F3" sqref="F1:F1048576"/>
    </sheetView>
  </sheetViews>
  <sheetFormatPr baseColWidth="10" defaultColWidth="8.6640625" defaultRowHeight="15" x14ac:dyDescent="0.2"/>
  <cols>
    <col min="1" max="1" width="8" customWidth="1"/>
    <col min="2" max="2" width="36" customWidth="1"/>
    <col min="3" max="3" width="30" customWidth="1"/>
    <col min="4" max="4" width="50" customWidth="1"/>
    <col min="5" max="5" width="14" customWidth="1"/>
    <col min="6" max="6" width="8" style="32" customWidth="1"/>
    <col min="7" max="7" width="14" customWidth="1"/>
  </cols>
  <sheetData>
    <row r="1" spans="1:7" ht="17" x14ac:dyDescent="0.2">
      <c r="A1" s="3" t="s">
        <v>180</v>
      </c>
      <c r="B1" s="3"/>
      <c r="C1" s="3"/>
      <c r="D1" s="3"/>
      <c r="E1" s="3"/>
      <c r="F1" s="3"/>
      <c r="G1" s="3"/>
    </row>
    <row r="2" spans="1:7" x14ac:dyDescent="0.2">
      <c r="A2" s="6" t="s">
        <v>181</v>
      </c>
      <c r="B2" s="6"/>
      <c r="C2" s="6"/>
      <c r="D2" s="6"/>
      <c r="E2" s="6"/>
      <c r="F2" s="6"/>
      <c r="G2" s="6"/>
    </row>
    <row r="4" spans="1:7" x14ac:dyDescent="0.2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  <c r="F4" s="29" t="s">
        <v>5</v>
      </c>
      <c r="G4" s="9" t="s">
        <v>47</v>
      </c>
    </row>
    <row r="5" spans="1:7" ht="28" x14ac:dyDescent="0.2">
      <c r="A5" s="10" t="s">
        <v>48</v>
      </c>
      <c r="B5" s="10" t="s">
        <v>182</v>
      </c>
      <c r="C5" s="10" t="s">
        <v>183</v>
      </c>
      <c r="D5" s="10" t="s">
        <v>184</v>
      </c>
      <c r="E5" s="11">
        <v>4800</v>
      </c>
      <c r="F5" s="30">
        <v>1</v>
      </c>
      <c r="G5" s="11">
        <f t="shared" ref="G5:G23" si="0">E5*F5</f>
        <v>4800</v>
      </c>
    </row>
    <row r="6" spans="1:7" ht="28" x14ac:dyDescent="0.2">
      <c r="A6" s="10" t="s">
        <v>52</v>
      </c>
      <c r="B6" s="10" t="s">
        <v>185</v>
      </c>
      <c r="C6" s="10" t="s">
        <v>183</v>
      </c>
      <c r="D6" s="10" t="s">
        <v>184</v>
      </c>
      <c r="E6" s="11">
        <v>4800</v>
      </c>
      <c r="F6" s="30">
        <v>1</v>
      </c>
      <c r="G6" s="11">
        <f t="shared" si="0"/>
        <v>4800</v>
      </c>
    </row>
    <row r="7" spans="1:7" x14ac:dyDescent="0.2">
      <c r="A7" s="10" t="s">
        <v>56</v>
      </c>
      <c r="B7" s="10" t="s">
        <v>186</v>
      </c>
      <c r="C7" s="10" t="s">
        <v>187</v>
      </c>
      <c r="D7" s="10" t="s">
        <v>188</v>
      </c>
      <c r="E7" s="11">
        <v>650</v>
      </c>
      <c r="F7" s="30">
        <v>2</v>
      </c>
      <c r="G7" s="11">
        <f t="shared" si="0"/>
        <v>1300</v>
      </c>
    </row>
    <row r="8" spans="1:7" x14ac:dyDescent="0.2">
      <c r="A8" s="10" t="s">
        <v>60</v>
      </c>
      <c r="B8" s="10" t="s">
        <v>189</v>
      </c>
      <c r="C8" s="10" t="s">
        <v>183</v>
      </c>
      <c r="D8" s="10" t="s">
        <v>184</v>
      </c>
      <c r="E8" s="11">
        <v>250</v>
      </c>
      <c r="F8" s="30">
        <v>2</v>
      </c>
      <c r="G8" s="11">
        <f t="shared" si="0"/>
        <v>500</v>
      </c>
    </row>
    <row r="9" spans="1:7" x14ac:dyDescent="0.2">
      <c r="A9" s="10" t="s">
        <v>64</v>
      </c>
      <c r="B9" s="10" t="s">
        <v>190</v>
      </c>
      <c r="C9" s="10" t="s">
        <v>191</v>
      </c>
      <c r="D9" s="10" t="s">
        <v>75</v>
      </c>
      <c r="E9" s="11">
        <v>650</v>
      </c>
      <c r="F9" s="30">
        <v>2</v>
      </c>
      <c r="G9" s="11">
        <f t="shared" si="0"/>
        <v>1300</v>
      </c>
    </row>
    <row r="10" spans="1:7" ht="28" x14ac:dyDescent="0.2">
      <c r="A10" s="10" t="s">
        <v>76</v>
      </c>
      <c r="B10" s="10" t="s">
        <v>192</v>
      </c>
      <c r="C10" s="10" t="s">
        <v>193</v>
      </c>
      <c r="D10" s="10" t="s">
        <v>75</v>
      </c>
      <c r="E10" s="11">
        <v>650</v>
      </c>
      <c r="F10" s="30">
        <v>1</v>
      </c>
      <c r="G10" s="11">
        <f t="shared" si="0"/>
        <v>650</v>
      </c>
    </row>
    <row r="11" spans="1:7" ht="28" x14ac:dyDescent="0.2">
      <c r="A11" s="10" t="s">
        <v>80</v>
      </c>
      <c r="B11" s="10" t="s">
        <v>194</v>
      </c>
      <c r="C11" s="10" t="s">
        <v>193</v>
      </c>
      <c r="D11" s="10" t="s">
        <v>75</v>
      </c>
      <c r="E11" s="11">
        <v>400</v>
      </c>
      <c r="F11" s="30">
        <v>1</v>
      </c>
      <c r="G11" s="11">
        <f t="shared" si="0"/>
        <v>400</v>
      </c>
    </row>
    <row r="12" spans="1:7" x14ac:dyDescent="0.2">
      <c r="A12" s="10" t="s">
        <v>133</v>
      </c>
      <c r="B12" s="10" t="s">
        <v>195</v>
      </c>
      <c r="C12" s="10" t="s">
        <v>85</v>
      </c>
      <c r="D12" s="10" t="s">
        <v>86</v>
      </c>
      <c r="E12" s="11">
        <v>175</v>
      </c>
      <c r="F12" s="30">
        <v>4</v>
      </c>
      <c r="G12" s="11">
        <f t="shared" si="0"/>
        <v>700</v>
      </c>
    </row>
    <row r="13" spans="1:7" ht="28" x14ac:dyDescent="0.2">
      <c r="A13" s="10" t="s">
        <v>135</v>
      </c>
      <c r="B13" s="10" t="s">
        <v>196</v>
      </c>
      <c r="C13" s="10" t="s">
        <v>142</v>
      </c>
      <c r="D13" s="10" t="s">
        <v>143</v>
      </c>
      <c r="E13" s="11">
        <v>75</v>
      </c>
      <c r="F13" s="30">
        <v>4</v>
      </c>
      <c r="G13" s="11">
        <f t="shared" si="0"/>
        <v>300</v>
      </c>
    </row>
    <row r="14" spans="1:7" ht="28" x14ac:dyDescent="0.2">
      <c r="A14" s="10" t="s">
        <v>137</v>
      </c>
      <c r="B14" s="10" t="s">
        <v>197</v>
      </c>
      <c r="C14" s="10" t="s">
        <v>198</v>
      </c>
      <c r="D14" s="10" t="s">
        <v>199</v>
      </c>
      <c r="E14" s="11">
        <v>800</v>
      </c>
      <c r="F14" s="30">
        <v>1</v>
      </c>
      <c r="G14" s="11">
        <f t="shared" si="0"/>
        <v>800</v>
      </c>
    </row>
    <row r="15" spans="1:7" ht="28" x14ac:dyDescent="0.2">
      <c r="A15" s="10" t="s">
        <v>83</v>
      </c>
      <c r="B15" s="10" t="s">
        <v>200</v>
      </c>
      <c r="C15" s="10" t="s">
        <v>183</v>
      </c>
      <c r="D15" s="10" t="s">
        <v>184</v>
      </c>
      <c r="E15" s="11">
        <v>1800</v>
      </c>
      <c r="F15" s="30">
        <v>2</v>
      </c>
      <c r="G15" s="11">
        <f t="shared" si="0"/>
        <v>3600</v>
      </c>
    </row>
    <row r="16" spans="1:7" x14ac:dyDescent="0.2">
      <c r="A16" s="10" t="s">
        <v>87</v>
      </c>
      <c r="B16" s="10" t="s">
        <v>201</v>
      </c>
      <c r="C16" s="10" t="s">
        <v>183</v>
      </c>
      <c r="D16" s="10" t="s">
        <v>184</v>
      </c>
      <c r="E16" s="11">
        <v>350</v>
      </c>
      <c r="F16" s="30">
        <v>4</v>
      </c>
      <c r="G16" s="11">
        <f t="shared" si="0"/>
        <v>1400</v>
      </c>
    </row>
    <row r="17" spans="1:7" x14ac:dyDescent="0.2">
      <c r="A17" s="10" t="s">
        <v>145</v>
      </c>
      <c r="B17" s="10" t="s">
        <v>202</v>
      </c>
      <c r="C17" s="10" t="s">
        <v>203</v>
      </c>
      <c r="D17" s="10" t="s">
        <v>75</v>
      </c>
      <c r="E17" s="11">
        <v>120</v>
      </c>
      <c r="F17" s="30">
        <v>2</v>
      </c>
      <c r="G17" s="11">
        <f t="shared" si="0"/>
        <v>240</v>
      </c>
    </row>
    <row r="18" spans="1:7" x14ac:dyDescent="0.2">
      <c r="A18" s="10" t="s">
        <v>91</v>
      </c>
      <c r="B18" s="10" t="s">
        <v>204</v>
      </c>
      <c r="C18" s="10" t="s">
        <v>205</v>
      </c>
      <c r="D18" s="10" t="s">
        <v>206</v>
      </c>
      <c r="E18" s="11">
        <v>0</v>
      </c>
      <c r="F18" s="30">
        <v>1</v>
      </c>
      <c r="G18" s="11">
        <f t="shared" si="0"/>
        <v>0</v>
      </c>
    </row>
    <row r="19" spans="1:7" x14ac:dyDescent="0.2">
      <c r="A19" s="10" t="s">
        <v>95</v>
      </c>
      <c r="B19" s="10" t="s">
        <v>207</v>
      </c>
      <c r="C19" s="10" t="s">
        <v>208</v>
      </c>
      <c r="D19" s="10" t="s">
        <v>209</v>
      </c>
      <c r="E19" s="11">
        <v>0</v>
      </c>
      <c r="F19" s="30">
        <v>1</v>
      </c>
      <c r="G19" s="11">
        <f t="shared" si="0"/>
        <v>0</v>
      </c>
    </row>
    <row r="20" spans="1:7" x14ac:dyDescent="0.2">
      <c r="A20" s="10" t="s">
        <v>98</v>
      </c>
      <c r="B20" s="10" t="s">
        <v>210</v>
      </c>
      <c r="C20" s="10" t="s">
        <v>211</v>
      </c>
      <c r="D20" s="10" t="s">
        <v>212</v>
      </c>
      <c r="E20" s="11">
        <v>0</v>
      </c>
      <c r="F20" s="30">
        <v>1</v>
      </c>
      <c r="G20" s="11">
        <f t="shared" si="0"/>
        <v>0</v>
      </c>
    </row>
    <row r="21" spans="1:7" ht="28" x14ac:dyDescent="0.2">
      <c r="A21" s="10" t="s">
        <v>101</v>
      </c>
      <c r="B21" s="10" t="s">
        <v>213</v>
      </c>
      <c r="C21" s="10" t="s">
        <v>214</v>
      </c>
      <c r="D21" s="10" t="s">
        <v>215</v>
      </c>
      <c r="E21" s="11">
        <v>150</v>
      </c>
      <c r="F21" s="30">
        <v>640</v>
      </c>
      <c r="G21" s="11">
        <f t="shared" si="0"/>
        <v>96000</v>
      </c>
    </row>
    <row r="22" spans="1:7" x14ac:dyDescent="0.2">
      <c r="A22" s="10" t="s">
        <v>107</v>
      </c>
      <c r="B22" s="10" t="s">
        <v>216</v>
      </c>
      <c r="C22" s="10" t="s">
        <v>203</v>
      </c>
      <c r="D22" s="10" t="s">
        <v>75</v>
      </c>
      <c r="E22" s="11">
        <v>250</v>
      </c>
      <c r="F22" s="30">
        <v>2</v>
      </c>
      <c r="G22" s="11">
        <f t="shared" si="0"/>
        <v>500</v>
      </c>
    </row>
    <row r="23" spans="1:7" x14ac:dyDescent="0.2">
      <c r="A23" s="10" t="s">
        <v>110</v>
      </c>
      <c r="B23" s="10" t="s">
        <v>217</v>
      </c>
      <c r="C23" s="10" t="s">
        <v>218</v>
      </c>
      <c r="D23" s="10" t="s">
        <v>113</v>
      </c>
      <c r="E23" s="11">
        <v>300</v>
      </c>
      <c r="F23" s="30">
        <v>1</v>
      </c>
      <c r="G23" s="11">
        <f t="shared" si="0"/>
        <v>300</v>
      </c>
    </row>
    <row r="24" spans="1:7" x14ac:dyDescent="0.2">
      <c r="A24" s="17" t="s">
        <v>219</v>
      </c>
      <c r="B24" s="18"/>
      <c r="C24" s="18"/>
      <c r="D24" s="18"/>
      <c r="E24" s="18"/>
      <c r="F24" s="31"/>
      <c r="G24" s="19">
        <f>SUM(G5:G23)</f>
        <v>117590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"/>
  <sheetViews>
    <sheetView zoomScaleNormal="100" workbookViewId="0">
      <selection activeCell="G34" sqref="G34"/>
    </sheetView>
  </sheetViews>
  <sheetFormatPr baseColWidth="10" defaultColWidth="8.6640625" defaultRowHeight="15" x14ac:dyDescent="0.2"/>
  <cols>
    <col min="1" max="1" width="8" customWidth="1"/>
    <col min="2" max="2" width="36" customWidth="1"/>
    <col min="3" max="3" width="30" customWidth="1"/>
    <col min="4" max="4" width="50" customWidth="1"/>
    <col min="5" max="5" width="14" customWidth="1"/>
    <col min="6" max="6" width="8" style="32" customWidth="1"/>
    <col min="7" max="7" width="14" customWidth="1"/>
  </cols>
  <sheetData>
    <row r="1" spans="1:7" ht="17" x14ac:dyDescent="0.2">
      <c r="A1" s="3" t="s">
        <v>220</v>
      </c>
      <c r="B1" s="3"/>
      <c r="C1" s="3"/>
      <c r="D1" s="3"/>
      <c r="E1" s="3"/>
      <c r="F1" s="3"/>
      <c r="G1" s="3"/>
    </row>
    <row r="2" spans="1:7" x14ac:dyDescent="0.2">
      <c r="A2" s="6" t="s">
        <v>221</v>
      </c>
      <c r="B2" s="6"/>
      <c r="C2" s="6"/>
      <c r="D2" s="6"/>
      <c r="E2" s="6"/>
      <c r="F2" s="6"/>
      <c r="G2" s="6"/>
    </row>
    <row r="3" spans="1:7" x14ac:dyDescent="0.2">
      <c r="A3" s="2" t="s">
        <v>222</v>
      </c>
      <c r="B3" s="2"/>
      <c r="C3" s="2"/>
      <c r="D3" s="2"/>
      <c r="E3" s="2"/>
      <c r="F3" s="2"/>
      <c r="G3" s="2"/>
    </row>
    <row r="5" spans="1:7" x14ac:dyDescent="0.2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29" t="s">
        <v>5</v>
      </c>
      <c r="G5" s="9" t="s">
        <v>47</v>
      </c>
    </row>
    <row r="6" spans="1:7" ht="28" x14ac:dyDescent="0.2">
      <c r="A6" s="10" t="s">
        <v>48</v>
      </c>
      <c r="B6" s="10" t="s">
        <v>223</v>
      </c>
      <c r="C6" s="10" t="s">
        <v>224</v>
      </c>
      <c r="D6" s="10" t="s">
        <v>166</v>
      </c>
      <c r="E6" s="11">
        <v>3</v>
      </c>
      <c r="F6" s="30">
        <v>16</v>
      </c>
      <c r="G6" s="11">
        <f>E6*F6</f>
        <v>48</v>
      </c>
    </row>
    <row r="7" spans="1:7" ht="28" x14ac:dyDescent="0.2">
      <c r="A7" s="10" t="s">
        <v>52</v>
      </c>
      <c r="B7" s="10" t="s">
        <v>225</v>
      </c>
      <c r="C7" s="10" t="s">
        <v>226</v>
      </c>
      <c r="D7" s="10" t="s">
        <v>227</v>
      </c>
      <c r="E7" s="11">
        <v>45</v>
      </c>
      <c r="F7" s="30">
        <v>1</v>
      </c>
      <c r="G7" s="11">
        <f t="shared" ref="G7:G20" si="0">E7*F7</f>
        <v>45</v>
      </c>
    </row>
    <row r="8" spans="1:7" x14ac:dyDescent="0.2">
      <c r="A8" s="10" t="s">
        <v>56</v>
      </c>
      <c r="B8" s="10" t="s">
        <v>228</v>
      </c>
      <c r="C8" s="10" t="s">
        <v>229</v>
      </c>
      <c r="D8" s="10" t="s">
        <v>230</v>
      </c>
      <c r="E8" s="11">
        <v>35</v>
      </c>
      <c r="F8" s="30">
        <v>1</v>
      </c>
      <c r="G8" s="11">
        <f t="shared" si="0"/>
        <v>35</v>
      </c>
    </row>
    <row r="9" spans="1:7" x14ac:dyDescent="0.2">
      <c r="A9" s="10" t="s">
        <v>60</v>
      </c>
      <c r="B9" s="10" t="s">
        <v>231</v>
      </c>
      <c r="C9" s="10" t="s">
        <v>232</v>
      </c>
      <c r="D9" s="10" t="s">
        <v>71</v>
      </c>
      <c r="E9" s="11">
        <v>30</v>
      </c>
      <c r="F9" s="30">
        <v>1</v>
      </c>
      <c r="G9" s="11">
        <f t="shared" si="0"/>
        <v>30</v>
      </c>
    </row>
    <row r="10" spans="1:7" ht="28" x14ac:dyDescent="0.2">
      <c r="A10" s="10" t="s">
        <v>76</v>
      </c>
      <c r="B10" s="10" t="s">
        <v>77</v>
      </c>
      <c r="C10" s="10" t="s">
        <v>78</v>
      </c>
      <c r="D10" s="10" t="s">
        <v>75</v>
      </c>
      <c r="E10" s="11">
        <v>249</v>
      </c>
      <c r="F10" s="30">
        <v>1</v>
      </c>
      <c r="G10" s="11">
        <f t="shared" si="0"/>
        <v>249</v>
      </c>
    </row>
    <row r="11" spans="1:7" ht="28" x14ac:dyDescent="0.2">
      <c r="A11" s="10" t="s">
        <v>80</v>
      </c>
      <c r="B11" s="10" t="s">
        <v>233</v>
      </c>
      <c r="C11" s="10" t="s">
        <v>82</v>
      </c>
      <c r="D11" s="10" t="s">
        <v>75</v>
      </c>
      <c r="E11" s="11">
        <v>65</v>
      </c>
      <c r="F11" s="30">
        <v>1</v>
      </c>
      <c r="G11" s="11">
        <f t="shared" si="0"/>
        <v>65</v>
      </c>
    </row>
    <row r="12" spans="1:7" x14ac:dyDescent="0.2">
      <c r="A12" s="10" t="s">
        <v>83</v>
      </c>
      <c r="B12" s="10" t="s">
        <v>234</v>
      </c>
      <c r="C12" s="10" t="s">
        <v>85</v>
      </c>
      <c r="D12" s="10" t="s">
        <v>86</v>
      </c>
      <c r="E12" s="11">
        <v>175</v>
      </c>
      <c r="F12" s="30">
        <v>1</v>
      </c>
      <c r="G12" s="11">
        <f t="shared" si="0"/>
        <v>175</v>
      </c>
    </row>
    <row r="13" spans="1:7" x14ac:dyDescent="0.2">
      <c r="A13" s="10" t="s">
        <v>87</v>
      </c>
      <c r="B13" s="10" t="s">
        <v>235</v>
      </c>
      <c r="C13" s="10" t="s">
        <v>89</v>
      </c>
      <c r="D13" s="10" t="s">
        <v>90</v>
      </c>
      <c r="E13" s="11">
        <v>15</v>
      </c>
      <c r="F13" s="30">
        <v>2</v>
      </c>
      <c r="G13" s="11">
        <f t="shared" si="0"/>
        <v>30</v>
      </c>
    </row>
    <row r="14" spans="1:7" x14ac:dyDescent="0.2">
      <c r="A14" s="10" t="s">
        <v>145</v>
      </c>
      <c r="B14" s="10" t="s">
        <v>236</v>
      </c>
      <c r="C14" s="10" t="s">
        <v>237</v>
      </c>
      <c r="D14" s="10" t="s">
        <v>230</v>
      </c>
      <c r="E14" s="11">
        <v>50</v>
      </c>
      <c r="F14" s="30">
        <v>1</v>
      </c>
      <c r="G14" s="11">
        <f t="shared" si="0"/>
        <v>50</v>
      </c>
    </row>
    <row r="15" spans="1:7" ht="28" x14ac:dyDescent="0.2">
      <c r="A15" s="10" t="s">
        <v>91</v>
      </c>
      <c r="B15" s="10" t="s">
        <v>238</v>
      </c>
      <c r="C15" s="10" t="s">
        <v>93</v>
      </c>
      <c r="D15" s="10" t="s">
        <v>94</v>
      </c>
      <c r="E15" s="11">
        <v>85</v>
      </c>
      <c r="F15" s="30">
        <v>1</v>
      </c>
      <c r="G15" s="11">
        <f t="shared" si="0"/>
        <v>85</v>
      </c>
    </row>
    <row r="16" spans="1:7" x14ac:dyDescent="0.2">
      <c r="A16" s="10" t="s">
        <v>95</v>
      </c>
      <c r="B16" s="10" t="s">
        <v>239</v>
      </c>
      <c r="C16" s="10" t="s">
        <v>97</v>
      </c>
      <c r="D16" s="10" t="s">
        <v>75</v>
      </c>
      <c r="E16" s="11">
        <v>110</v>
      </c>
      <c r="F16" s="30">
        <v>1</v>
      </c>
      <c r="G16" s="11">
        <f t="shared" si="0"/>
        <v>110</v>
      </c>
    </row>
    <row r="17" spans="1:7" x14ac:dyDescent="0.2">
      <c r="A17" s="10" t="s">
        <v>98</v>
      </c>
      <c r="B17" s="10" t="s">
        <v>240</v>
      </c>
      <c r="C17" s="10" t="s">
        <v>100</v>
      </c>
      <c r="D17" s="10" t="s">
        <v>75</v>
      </c>
      <c r="E17" s="11">
        <v>110</v>
      </c>
      <c r="F17" s="30">
        <v>1</v>
      </c>
      <c r="G17" s="11">
        <f t="shared" si="0"/>
        <v>110</v>
      </c>
    </row>
    <row r="18" spans="1:7" x14ac:dyDescent="0.2">
      <c r="A18" s="10" t="s">
        <v>101</v>
      </c>
      <c r="B18" s="10" t="s">
        <v>241</v>
      </c>
      <c r="C18" s="10" t="s">
        <v>103</v>
      </c>
      <c r="D18" s="10" t="s">
        <v>75</v>
      </c>
      <c r="E18" s="11">
        <v>65</v>
      </c>
      <c r="F18" s="30">
        <v>1</v>
      </c>
      <c r="G18" s="11">
        <f t="shared" si="0"/>
        <v>65</v>
      </c>
    </row>
    <row r="19" spans="1:7" x14ac:dyDescent="0.2">
      <c r="A19" s="10" t="s">
        <v>104</v>
      </c>
      <c r="B19" s="10" t="s">
        <v>242</v>
      </c>
      <c r="C19" s="10" t="s">
        <v>106</v>
      </c>
      <c r="D19" s="10" t="s">
        <v>75</v>
      </c>
      <c r="E19" s="11">
        <v>12</v>
      </c>
      <c r="F19" s="30">
        <v>2</v>
      </c>
      <c r="G19" s="11">
        <f t="shared" si="0"/>
        <v>24</v>
      </c>
    </row>
    <row r="20" spans="1:7" x14ac:dyDescent="0.2">
      <c r="A20" s="10" t="s">
        <v>107</v>
      </c>
      <c r="B20" s="10" t="s">
        <v>243</v>
      </c>
      <c r="C20" s="10" t="s">
        <v>116</v>
      </c>
      <c r="D20" s="10" t="s">
        <v>75</v>
      </c>
      <c r="E20" s="11">
        <v>40</v>
      </c>
      <c r="F20" s="30">
        <v>1</v>
      </c>
      <c r="G20" s="11">
        <f t="shared" si="0"/>
        <v>40</v>
      </c>
    </row>
    <row r="21" spans="1:7" x14ac:dyDescent="0.2">
      <c r="A21" s="17" t="s">
        <v>244</v>
      </c>
      <c r="B21" s="18"/>
      <c r="C21" s="18"/>
      <c r="D21" s="18"/>
      <c r="E21" s="18"/>
      <c r="F21" s="31"/>
      <c r="G21" s="19">
        <f>SUM(G6:G20)</f>
        <v>1161</v>
      </c>
    </row>
    <row r="22" spans="1:7" x14ac:dyDescent="0.2">
      <c r="B22" s="14" t="s">
        <v>245</v>
      </c>
      <c r="G22" s="22">
        <f>G21*24</f>
        <v>27864</v>
      </c>
    </row>
    <row r="24" spans="1:7" x14ac:dyDescent="0.2">
      <c r="A24" s="2" t="s">
        <v>246</v>
      </c>
      <c r="B24" s="2"/>
      <c r="C24" s="2"/>
      <c r="D24" s="2"/>
      <c r="E24" s="2"/>
      <c r="F24" s="2"/>
      <c r="G24" s="2"/>
    </row>
    <row r="25" spans="1:7" x14ac:dyDescent="0.2">
      <c r="A25" s="9" t="s">
        <v>42</v>
      </c>
      <c r="B25" s="9" t="s">
        <v>43</v>
      </c>
      <c r="C25" s="9" t="s">
        <v>44</v>
      </c>
      <c r="D25" s="9" t="s">
        <v>45</v>
      </c>
      <c r="E25" s="9" t="s">
        <v>46</v>
      </c>
      <c r="F25" s="29" t="s">
        <v>5</v>
      </c>
      <c r="G25" s="9" t="s">
        <v>47</v>
      </c>
    </row>
    <row r="26" spans="1:7" ht="28" x14ac:dyDescent="0.2">
      <c r="A26" s="10" t="s">
        <v>160</v>
      </c>
      <c r="B26" s="10" t="s">
        <v>247</v>
      </c>
      <c r="C26" s="10" t="s">
        <v>248</v>
      </c>
      <c r="D26" s="10" t="s">
        <v>249</v>
      </c>
      <c r="E26" s="11">
        <v>3995</v>
      </c>
      <c r="F26" s="30">
        <v>1</v>
      </c>
      <c r="G26" s="11">
        <f t="shared" ref="G26:G33" si="1">E26*F26</f>
        <v>3995</v>
      </c>
    </row>
    <row r="27" spans="1:7" x14ac:dyDescent="0.2">
      <c r="A27" s="10" t="s">
        <v>163</v>
      </c>
      <c r="B27" s="10" t="s">
        <v>250</v>
      </c>
      <c r="C27" s="10" t="s">
        <v>248</v>
      </c>
      <c r="D27" s="10" t="s">
        <v>251</v>
      </c>
      <c r="E27" s="11">
        <v>1200</v>
      </c>
      <c r="F27" s="30">
        <v>1</v>
      </c>
      <c r="G27" s="11">
        <f t="shared" si="1"/>
        <v>1200</v>
      </c>
    </row>
    <row r="28" spans="1:7" ht="28" x14ac:dyDescent="0.2">
      <c r="A28" s="10" t="s">
        <v>170</v>
      </c>
      <c r="B28" s="10" t="s">
        <v>252</v>
      </c>
      <c r="C28" s="10" t="s">
        <v>78</v>
      </c>
      <c r="D28" s="10" t="s">
        <v>75</v>
      </c>
      <c r="E28" s="11">
        <v>249</v>
      </c>
      <c r="F28" s="30">
        <v>1</v>
      </c>
      <c r="G28" s="11">
        <f t="shared" si="1"/>
        <v>249</v>
      </c>
    </row>
    <row r="29" spans="1:7" x14ac:dyDescent="0.2">
      <c r="A29" s="10" t="s">
        <v>253</v>
      </c>
      <c r="B29" s="10" t="s">
        <v>254</v>
      </c>
      <c r="C29" s="10" t="s">
        <v>255</v>
      </c>
      <c r="D29" s="10" t="s">
        <v>75</v>
      </c>
      <c r="E29" s="11">
        <v>180</v>
      </c>
      <c r="F29" s="30">
        <v>1</v>
      </c>
      <c r="G29" s="11">
        <f t="shared" si="1"/>
        <v>180</v>
      </c>
    </row>
    <row r="30" spans="1:7" x14ac:dyDescent="0.2">
      <c r="A30" s="10" t="s">
        <v>256</v>
      </c>
      <c r="B30" s="10" t="s">
        <v>257</v>
      </c>
      <c r="C30" s="10" t="s">
        <v>193</v>
      </c>
      <c r="D30" s="10" t="s">
        <v>75</v>
      </c>
      <c r="E30" s="11">
        <v>65</v>
      </c>
      <c r="F30" s="30">
        <v>1</v>
      </c>
      <c r="G30" s="11">
        <f t="shared" si="1"/>
        <v>65</v>
      </c>
    </row>
    <row r="31" spans="1:7" x14ac:dyDescent="0.2">
      <c r="A31" s="10" t="s">
        <v>258</v>
      </c>
      <c r="B31" s="10" t="s">
        <v>259</v>
      </c>
      <c r="C31" s="10" t="s">
        <v>112</v>
      </c>
      <c r="D31" s="10" t="s">
        <v>113</v>
      </c>
      <c r="E31" s="11">
        <v>35</v>
      </c>
      <c r="F31" s="30">
        <v>1</v>
      </c>
      <c r="G31" s="11">
        <f t="shared" si="1"/>
        <v>35</v>
      </c>
    </row>
    <row r="32" spans="1:7" x14ac:dyDescent="0.2">
      <c r="A32" s="10" t="s">
        <v>260</v>
      </c>
      <c r="B32" s="10" t="s">
        <v>261</v>
      </c>
      <c r="C32" s="10" t="s">
        <v>262</v>
      </c>
      <c r="D32" s="10" t="s">
        <v>75</v>
      </c>
      <c r="E32" s="11">
        <v>120</v>
      </c>
      <c r="F32" s="30">
        <v>1</v>
      </c>
      <c r="G32" s="11">
        <f t="shared" si="1"/>
        <v>120</v>
      </c>
    </row>
    <row r="33" spans="1:7" x14ac:dyDescent="0.2">
      <c r="A33" s="10" t="s">
        <v>263</v>
      </c>
      <c r="B33" s="10" t="s">
        <v>264</v>
      </c>
      <c r="C33" s="10" t="s">
        <v>116</v>
      </c>
      <c r="D33" s="10" t="s">
        <v>75</v>
      </c>
      <c r="E33" s="11">
        <v>50</v>
      </c>
      <c r="F33" s="30">
        <v>1</v>
      </c>
      <c r="G33" s="11">
        <f t="shared" si="1"/>
        <v>50</v>
      </c>
    </row>
    <row r="34" spans="1:7" x14ac:dyDescent="0.2">
      <c r="A34" s="17" t="s">
        <v>265</v>
      </c>
      <c r="B34" s="18"/>
      <c r="C34" s="18"/>
      <c r="D34" s="18"/>
      <c r="E34" s="18"/>
      <c r="F34" s="31"/>
      <c r="G34" s="19">
        <f>SUM(G26:G33)</f>
        <v>5894</v>
      </c>
    </row>
    <row r="35" spans="1:7" x14ac:dyDescent="0.2">
      <c r="B35" s="14" t="s">
        <v>266</v>
      </c>
      <c r="G35" s="22">
        <f>G34*12</f>
        <v>70728</v>
      </c>
    </row>
    <row r="37" spans="1:7" x14ac:dyDescent="0.2">
      <c r="A37" s="2" t="s">
        <v>267</v>
      </c>
      <c r="B37" s="2"/>
      <c r="C37" s="2"/>
      <c r="D37" s="2"/>
      <c r="E37" s="2"/>
      <c r="F37" s="2"/>
      <c r="G37" s="2"/>
    </row>
    <row r="38" spans="1:7" x14ac:dyDescent="0.2">
      <c r="A38" s="9" t="s">
        <v>42</v>
      </c>
      <c r="B38" s="9" t="s">
        <v>43</v>
      </c>
      <c r="C38" s="9" t="s">
        <v>44</v>
      </c>
      <c r="D38" s="9" t="s">
        <v>45</v>
      </c>
      <c r="E38" s="9" t="s">
        <v>46</v>
      </c>
      <c r="F38" s="29" t="s">
        <v>5</v>
      </c>
      <c r="G38" s="9" t="s">
        <v>47</v>
      </c>
    </row>
    <row r="39" spans="1:7" x14ac:dyDescent="0.2">
      <c r="A39" s="10" t="s">
        <v>268</v>
      </c>
      <c r="B39" s="10" t="s">
        <v>269</v>
      </c>
      <c r="C39" s="10" t="s">
        <v>214</v>
      </c>
      <c r="D39" s="23" t="s">
        <v>215</v>
      </c>
      <c r="E39" s="11">
        <v>150</v>
      </c>
      <c r="F39" s="30">
        <v>200</v>
      </c>
      <c r="G39" s="11">
        <f>E39*F39</f>
        <v>30000</v>
      </c>
    </row>
    <row r="40" spans="1:7" x14ac:dyDescent="0.2">
      <c r="A40" s="10" t="s">
        <v>270</v>
      </c>
      <c r="B40" s="10" t="s">
        <v>271</v>
      </c>
      <c r="C40" s="10" t="s">
        <v>214</v>
      </c>
      <c r="D40" s="23" t="s">
        <v>215</v>
      </c>
      <c r="E40" s="11">
        <v>150</v>
      </c>
      <c r="F40" s="30">
        <v>160</v>
      </c>
      <c r="G40" s="11">
        <f>E40*F40</f>
        <v>24000</v>
      </c>
    </row>
    <row r="41" spans="1:7" ht="28" x14ac:dyDescent="0.2">
      <c r="A41" s="10" t="s">
        <v>272</v>
      </c>
      <c r="B41" s="10" t="s">
        <v>273</v>
      </c>
      <c r="C41" s="10" t="s">
        <v>214</v>
      </c>
      <c r="D41" s="23" t="s">
        <v>215</v>
      </c>
      <c r="E41" s="11">
        <v>150</v>
      </c>
      <c r="F41" s="30">
        <v>200</v>
      </c>
      <c r="G41" s="11">
        <f>E41*F41</f>
        <v>30000</v>
      </c>
    </row>
    <row r="42" spans="1:7" x14ac:dyDescent="0.2">
      <c r="A42" s="10" t="s">
        <v>274</v>
      </c>
      <c r="B42" s="10" t="s">
        <v>275</v>
      </c>
      <c r="C42" s="10" t="s">
        <v>214</v>
      </c>
      <c r="D42" s="23" t="s">
        <v>215</v>
      </c>
      <c r="E42" s="11">
        <v>150</v>
      </c>
      <c r="F42" s="30">
        <v>120</v>
      </c>
      <c r="G42" s="11">
        <f>E42*F42</f>
        <v>18000</v>
      </c>
    </row>
    <row r="43" spans="1:7" x14ac:dyDescent="0.2">
      <c r="A43" s="17" t="s">
        <v>276</v>
      </c>
      <c r="B43" s="18"/>
      <c r="C43" s="18"/>
      <c r="D43" s="18"/>
      <c r="E43" s="18"/>
      <c r="F43" s="31"/>
      <c r="G43" s="19">
        <f>SUM(G39:G42)</f>
        <v>102000</v>
      </c>
    </row>
    <row r="45" spans="1:7" ht="16" x14ac:dyDescent="0.2">
      <c r="B45" s="24" t="s">
        <v>277</v>
      </c>
      <c r="G45" s="25">
        <f>G22+G35+G43</f>
        <v>200592</v>
      </c>
    </row>
  </sheetData>
  <mergeCells count="5">
    <mergeCell ref="A1:G1"/>
    <mergeCell ref="A2:G2"/>
    <mergeCell ref="A3:G3"/>
    <mergeCell ref="A24:G24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zoomScaleNormal="100" workbookViewId="0">
      <selection activeCell="F4" sqref="F1:F1048576"/>
    </sheetView>
  </sheetViews>
  <sheetFormatPr baseColWidth="10" defaultColWidth="8.6640625" defaultRowHeight="15" x14ac:dyDescent="0.2"/>
  <cols>
    <col min="1" max="1" width="8" customWidth="1"/>
    <col min="2" max="2" width="36" customWidth="1"/>
    <col min="3" max="3" width="30" customWidth="1"/>
    <col min="4" max="4" width="50" customWidth="1"/>
    <col min="5" max="5" width="14" customWidth="1"/>
    <col min="6" max="6" width="8" style="32" customWidth="1"/>
    <col min="7" max="7" width="14" customWidth="1"/>
  </cols>
  <sheetData>
    <row r="1" spans="1:7" ht="17" x14ac:dyDescent="0.2">
      <c r="A1" s="3" t="s">
        <v>278</v>
      </c>
      <c r="B1" s="3"/>
      <c r="C1" s="3"/>
      <c r="D1" s="3"/>
      <c r="E1" s="3"/>
      <c r="F1" s="3"/>
      <c r="G1" s="3"/>
    </row>
    <row r="2" spans="1:7" x14ac:dyDescent="0.2">
      <c r="A2" s="6" t="s">
        <v>279</v>
      </c>
      <c r="B2" s="6"/>
      <c r="C2" s="6"/>
      <c r="D2" s="6"/>
      <c r="E2" s="6"/>
      <c r="F2" s="6"/>
      <c r="G2" s="6"/>
    </row>
    <row r="3" spans="1:7" x14ac:dyDescent="0.2">
      <c r="A3" s="1" t="s">
        <v>280</v>
      </c>
      <c r="B3" s="1"/>
      <c r="C3" s="1"/>
      <c r="D3" s="1"/>
      <c r="E3" s="1"/>
      <c r="F3" s="1"/>
      <c r="G3" s="1"/>
    </row>
    <row r="5" spans="1:7" x14ac:dyDescent="0.2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29" t="s">
        <v>5</v>
      </c>
      <c r="G5" s="9" t="s">
        <v>47</v>
      </c>
    </row>
    <row r="6" spans="1:7" ht="28" x14ac:dyDescent="0.2">
      <c r="A6" s="10" t="s">
        <v>48</v>
      </c>
      <c r="B6" s="10" t="s">
        <v>281</v>
      </c>
      <c r="C6" s="10" t="s">
        <v>282</v>
      </c>
      <c r="D6" s="10" t="s">
        <v>283</v>
      </c>
      <c r="E6" s="11">
        <v>18000</v>
      </c>
      <c r="F6" s="30">
        <v>3</v>
      </c>
      <c r="G6" s="11">
        <f t="shared" ref="G6:G19" si="0">E6*F6</f>
        <v>54000</v>
      </c>
    </row>
    <row r="7" spans="1:7" ht="28" x14ac:dyDescent="0.2">
      <c r="A7" s="10" t="s">
        <v>52</v>
      </c>
      <c r="B7" s="10" t="s">
        <v>284</v>
      </c>
      <c r="C7" s="10" t="s">
        <v>282</v>
      </c>
      <c r="D7" s="10" t="s">
        <v>283</v>
      </c>
      <c r="E7" s="11">
        <v>2500</v>
      </c>
      <c r="F7" s="30">
        <v>1</v>
      </c>
      <c r="G7" s="11">
        <f t="shared" si="0"/>
        <v>2500</v>
      </c>
    </row>
    <row r="8" spans="1:7" ht="28" x14ac:dyDescent="0.2">
      <c r="A8" s="10" t="s">
        <v>56</v>
      </c>
      <c r="B8" s="10" t="s">
        <v>285</v>
      </c>
      <c r="C8" s="10" t="s">
        <v>282</v>
      </c>
      <c r="D8" s="10" t="s">
        <v>283</v>
      </c>
      <c r="E8" s="11">
        <v>3500</v>
      </c>
      <c r="F8" s="30">
        <v>1</v>
      </c>
      <c r="G8" s="11">
        <f t="shared" si="0"/>
        <v>3500</v>
      </c>
    </row>
    <row r="9" spans="1:7" ht="28" x14ac:dyDescent="0.2">
      <c r="A9" s="10" t="s">
        <v>76</v>
      </c>
      <c r="B9" s="10" t="s">
        <v>286</v>
      </c>
      <c r="C9" s="10" t="s">
        <v>282</v>
      </c>
      <c r="D9" s="10" t="s">
        <v>283</v>
      </c>
      <c r="E9" s="11">
        <v>4500</v>
      </c>
      <c r="F9" s="30">
        <v>1</v>
      </c>
      <c r="G9" s="11">
        <f t="shared" si="0"/>
        <v>4500</v>
      </c>
    </row>
    <row r="10" spans="1:7" x14ac:dyDescent="0.2">
      <c r="A10" s="10" t="s">
        <v>80</v>
      </c>
      <c r="B10" s="10" t="s">
        <v>287</v>
      </c>
      <c r="C10" s="10" t="s">
        <v>193</v>
      </c>
      <c r="D10" s="10" t="s">
        <v>75</v>
      </c>
      <c r="E10" s="11">
        <v>250</v>
      </c>
      <c r="F10" s="30">
        <v>1</v>
      </c>
      <c r="G10" s="11">
        <f t="shared" si="0"/>
        <v>250</v>
      </c>
    </row>
    <row r="11" spans="1:7" x14ac:dyDescent="0.2">
      <c r="A11" s="10" t="s">
        <v>133</v>
      </c>
      <c r="B11" s="10" t="s">
        <v>288</v>
      </c>
      <c r="C11" s="10" t="s">
        <v>112</v>
      </c>
      <c r="D11" s="10" t="s">
        <v>113</v>
      </c>
      <c r="E11" s="11">
        <v>35</v>
      </c>
      <c r="F11" s="30">
        <v>3</v>
      </c>
      <c r="G11" s="11">
        <f t="shared" si="0"/>
        <v>105</v>
      </c>
    </row>
    <row r="12" spans="1:7" x14ac:dyDescent="0.2">
      <c r="A12" s="10" t="s">
        <v>83</v>
      </c>
      <c r="B12" s="10" t="s">
        <v>289</v>
      </c>
      <c r="C12" s="10" t="s">
        <v>85</v>
      </c>
      <c r="D12" s="10" t="s">
        <v>86</v>
      </c>
      <c r="E12" s="11">
        <v>175</v>
      </c>
      <c r="F12" s="30">
        <v>1</v>
      </c>
      <c r="G12" s="11">
        <f t="shared" si="0"/>
        <v>175</v>
      </c>
    </row>
    <row r="13" spans="1:7" x14ac:dyDescent="0.2">
      <c r="A13" s="10" t="s">
        <v>87</v>
      </c>
      <c r="B13" s="10" t="s">
        <v>235</v>
      </c>
      <c r="C13" s="10" t="s">
        <v>89</v>
      </c>
      <c r="D13" s="10" t="s">
        <v>90</v>
      </c>
      <c r="E13" s="11">
        <v>15</v>
      </c>
      <c r="F13" s="30">
        <v>2</v>
      </c>
      <c r="G13" s="11">
        <f t="shared" si="0"/>
        <v>30</v>
      </c>
    </row>
    <row r="14" spans="1:7" ht="28" x14ac:dyDescent="0.2">
      <c r="A14" s="10" t="s">
        <v>91</v>
      </c>
      <c r="B14" s="10" t="s">
        <v>290</v>
      </c>
      <c r="C14" s="10" t="s">
        <v>291</v>
      </c>
      <c r="D14" s="10" t="s">
        <v>292</v>
      </c>
      <c r="E14" s="11">
        <v>650</v>
      </c>
      <c r="F14" s="30">
        <v>1</v>
      </c>
      <c r="G14" s="11">
        <f t="shared" si="0"/>
        <v>650</v>
      </c>
    </row>
    <row r="15" spans="1:7" x14ac:dyDescent="0.2">
      <c r="A15" s="10" t="s">
        <v>95</v>
      </c>
      <c r="B15" s="10" t="s">
        <v>293</v>
      </c>
      <c r="C15" s="10" t="s">
        <v>165</v>
      </c>
      <c r="D15" s="10" t="s">
        <v>166</v>
      </c>
      <c r="E15" s="11">
        <v>80</v>
      </c>
      <c r="F15" s="30">
        <v>1</v>
      </c>
      <c r="G15" s="11">
        <f t="shared" si="0"/>
        <v>80</v>
      </c>
    </row>
    <row r="16" spans="1:7" x14ac:dyDescent="0.2">
      <c r="A16" s="10" t="s">
        <v>98</v>
      </c>
      <c r="B16" s="10" t="s">
        <v>294</v>
      </c>
      <c r="C16" s="10" t="s">
        <v>191</v>
      </c>
      <c r="D16" s="10" t="s">
        <v>75</v>
      </c>
      <c r="E16" s="11">
        <v>90</v>
      </c>
      <c r="F16" s="30">
        <v>1</v>
      </c>
      <c r="G16" s="11">
        <f t="shared" si="0"/>
        <v>90</v>
      </c>
    </row>
    <row r="17" spans="1:7" x14ac:dyDescent="0.2">
      <c r="A17" s="10" t="s">
        <v>101</v>
      </c>
      <c r="B17" s="10" t="s">
        <v>295</v>
      </c>
      <c r="C17" s="10" t="s">
        <v>93</v>
      </c>
      <c r="D17" s="10" t="s">
        <v>94</v>
      </c>
      <c r="E17" s="11">
        <v>180</v>
      </c>
      <c r="F17" s="30">
        <v>1</v>
      </c>
      <c r="G17" s="11">
        <f t="shared" si="0"/>
        <v>180</v>
      </c>
    </row>
    <row r="18" spans="1:7" ht="28" x14ac:dyDescent="0.2">
      <c r="A18" s="10" t="s">
        <v>107</v>
      </c>
      <c r="B18" s="10" t="s">
        <v>296</v>
      </c>
      <c r="C18" s="10" t="s">
        <v>297</v>
      </c>
      <c r="D18" s="10" t="s">
        <v>75</v>
      </c>
      <c r="E18" s="11">
        <v>120</v>
      </c>
      <c r="F18" s="30">
        <v>1</v>
      </c>
      <c r="G18" s="11">
        <f t="shared" si="0"/>
        <v>120</v>
      </c>
    </row>
    <row r="19" spans="1:7" x14ac:dyDescent="0.2">
      <c r="A19" s="10" t="s">
        <v>110</v>
      </c>
      <c r="B19" s="10" t="s">
        <v>298</v>
      </c>
      <c r="C19" s="10" t="s">
        <v>116</v>
      </c>
      <c r="D19" s="10" t="s">
        <v>75</v>
      </c>
      <c r="E19" s="11">
        <v>75</v>
      </c>
      <c r="F19" s="30">
        <v>1</v>
      </c>
      <c r="G19" s="11">
        <f t="shared" si="0"/>
        <v>75</v>
      </c>
    </row>
    <row r="20" spans="1:7" x14ac:dyDescent="0.2">
      <c r="A20" s="17" t="s">
        <v>299</v>
      </c>
      <c r="B20" s="18"/>
      <c r="C20" s="18"/>
      <c r="D20" s="18"/>
      <c r="E20" s="18"/>
      <c r="F20" s="31"/>
      <c r="G20" s="19">
        <f>SUM(G6:G19)</f>
        <v>66255</v>
      </c>
    </row>
    <row r="21" spans="1:7" x14ac:dyDescent="0.2">
      <c r="B21" s="14" t="s">
        <v>300</v>
      </c>
      <c r="G21" s="26">
        <f>G20*10</f>
        <v>662550</v>
      </c>
    </row>
    <row r="23" spans="1:7" x14ac:dyDescent="0.2">
      <c r="A23" s="1" t="s">
        <v>301</v>
      </c>
      <c r="B23" s="1"/>
      <c r="C23" s="1"/>
      <c r="D23" s="1"/>
      <c r="E23" s="1"/>
      <c r="F23" s="1"/>
      <c r="G23" s="1"/>
    </row>
    <row r="24" spans="1:7" x14ac:dyDescent="0.2">
      <c r="A24" s="9" t="s">
        <v>42</v>
      </c>
      <c r="B24" s="9" t="s">
        <v>43</v>
      </c>
      <c r="C24" s="9" t="s">
        <v>44</v>
      </c>
      <c r="D24" s="9" t="s">
        <v>45</v>
      </c>
      <c r="E24" s="9" t="s">
        <v>46</v>
      </c>
      <c r="F24" s="29" t="s">
        <v>5</v>
      </c>
      <c r="G24" s="9" t="s">
        <v>47</v>
      </c>
    </row>
    <row r="25" spans="1:7" ht="28" x14ac:dyDescent="0.2">
      <c r="A25" s="10" t="s">
        <v>160</v>
      </c>
      <c r="B25" s="10" t="s">
        <v>302</v>
      </c>
      <c r="C25" s="10" t="s">
        <v>214</v>
      </c>
      <c r="D25" s="23" t="s">
        <v>215</v>
      </c>
      <c r="E25" s="11">
        <v>150</v>
      </c>
      <c r="F25" s="30">
        <v>100</v>
      </c>
      <c r="G25" s="11">
        <f>E25*F25</f>
        <v>15000</v>
      </c>
    </row>
    <row r="26" spans="1:7" ht="28" x14ac:dyDescent="0.2">
      <c r="A26" s="10" t="s">
        <v>163</v>
      </c>
      <c r="B26" s="10" t="s">
        <v>303</v>
      </c>
      <c r="C26" s="10" t="s">
        <v>214</v>
      </c>
      <c r="D26" s="23" t="s">
        <v>215</v>
      </c>
      <c r="E26" s="11">
        <v>150</v>
      </c>
      <c r="F26" s="30">
        <v>160</v>
      </c>
      <c r="G26" s="11">
        <f>E26*F26</f>
        <v>24000</v>
      </c>
    </row>
    <row r="27" spans="1:7" x14ac:dyDescent="0.2">
      <c r="A27" s="10" t="s">
        <v>167</v>
      </c>
      <c r="B27" s="10" t="s">
        <v>304</v>
      </c>
      <c r="C27" s="10" t="s">
        <v>214</v>
      </c>
      <c r="D27" s="23" t="s">
        <v>215</v>
      </c>
      <c r="E27" s="11">
        <v>150</v>
      </c>
      <c r="F27" s="30">
        <v>80</v>
      </c>
      <c r="G27" s="11">
        <f>E27*F27</f>
        <v>12000</v>
      </c>
    </row>
    <row r="28" spans="1:7" ht="28" x14ac:dyDescent="0.2">
      <c r="A28" s="10" t="s">
        <v>305</v>
      </c>
      <c r="B28" s="10" t="s">
        <v>306</v>
      </c>
      <c r="C28" s="10" t="s">
        <v>214</v>
      </c>
      <c r="D28" s="23" t="s">
        <v>215</v>
      </c>
      <c r="E28" s="11">
        <v>150</v>
      </c>
      <c r="F28" s="30">
        <v>60</v>
      </c>
      <c r="G28" s="11">
        <f>E28*F28</f>
        <v>9000</v>
      </c>
    </row>
    <row r="29" spans="1:7" x14ac:dyDescent="0.2">
      <c r="A29" s="17" t="s">
        <v>307</v>
      </c>
      <c r="B29" s="18"/>
      <c r="C29" s="18"/>
      <c r="D29" s="18"/>
      <c r="E29" s="18"/>
      <c r="F29" s="31"/>
      <c r="G29" s="19">
        <f>SUM(G25:G28)</f>
        <v>60000</v>
      </c>
    </row>
    <row r="31" spans="1:7" ht="16" x14ac:dyDescent="0.2">
      <c r="B31" s="27" t="s">
        <v>308</v>
      </c>
      <c r="G31" s="28">
        <f>G21+G29</f>
        <v>722550</v>
      </c>
    </row>
  </sheetData>
  <mergeCells count="4">
    <mergeCell ref="A1:G1"/>
    <mergeCell ref="A2:G2"/>
    <mergeCell ref="A3:G3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RF Sensor Clusters</vt:lpstr>
      <vt:lpstr>EA Nodes</vt:lpstr>
      <vt:lpstr>C2 Server &amp; Infrastructure</vt:lpstr>
      <vt:lpstr>Acoustic EO-IR Augmentation</vt:lpstr>
      <vt:lpstr>Radar 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Kolakowski</cp:lastModifiedBy>
  <cp:revision>0</cp:revision>
  <dcterms:created xsi:type="dcterms:W3CDTF">2026-03-10T23:35:43Z</dcterms:created>
  <dcterms:modified xsi:type="dcterms:W3CDTF">2026-03-10T23:52:01Z</dcterms:modified>
  <dc:language>en-US</dc:language>
</cp:coreProperties>
</file>