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ssive Sensor Nodes" sheetId="2" state="visible" r:id="rId4"/>
    <sheet name="EA Nodes" sheetId="3" state="visible" r:id="rId5"/>
    <sheet name="C2 Server &amp; Infrastructure" sheetId="4" state="visible" r:id="rId6"/>
    <sheet name="Acoustic EO-IR Augmentation" sheetId="5" state="visible" r:id="rId7"/>
    <sheet name="Radar Lay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<sst xmlns="http://schemas.openxmlformats.org/spreadsheetml/2006/main" count="555" uniqueCount="313">
  <si>
    <t xml:space="preserve">SYSTEM COST SUMMARY — RF C-UAS MESH, SHAW AFB</t>
  </si>
  <si>
    <t xml:space="preserve">Hardware &amp; Development Cost Roll-Up</t>
  </si>
  <si>
    <t xml:space="preserve">Category</t>
  </si>
  <si>
    <t xml:space="preserve">Description</t>
  </si>
  <si>
    <t xml:space="preserve">Qty</t>
  </si>
  <si>
    <t xml:space="preserve">Total Cost</t>
  </si>
  <si>
    <t xml:space="preserve">A</t>
  </si>
  <si>
    <t xml:space="preserve">Passive RF Sensor Clusters (x17, 3-element DF, 51 sub-nodes)</t>
  </si>
  <si>
    <t xml:space="preserve">17 node clusters w/ interferometric DF</t>
  </si>
  <si>
    <t xml:space="preserve">B</t>
  </si>
  <si>
    <t xml:space="preserve">Electronic Attack Nodes w/ DF Array (x5, 15 DF sub-nodes)</t>
  </si>
  <si>
    <t xml:space="preserve">EA TX + 3-element DF per node</t>
  </si>
  <si>
    <t xml:space="preserve">C</t>
  </si>
  <si>
    <t xml:space="preserve">C2 Server &amp; Infrastructure</t>
  </si>
  <si>
    <t xml:space="preserve">Server, network, operator station, core software dev</t>
  </si>
  <si>
    <t xml:space="preserve">D</t>
  </si>
  <si>
    <t xml:space="preserve">Acoustic / EO-IR Augmentation Layer</t>
  </si>
  <si>
    <t xml:space="preserve">12 acoustic arrays + 6 EO/IR turrets + software dev</t>
  </si>
  <si>
    <t xml:space="preserve">E</t>
  </si>
  <si>
    <t xml:space="preserve">Echodyne EchoGuard Radar Layer</t>
  </si>
  <si>
    <t xml:space="preserve">6 towers x 3 EchoGuard units + software integration</t>
  </si>
  <si>
    <t xml:space="preserve">HARDWARE + SOFTWARE SUBTOTAL</t>
  </si>
  <si>
    <t xml:space="preserve">Contingency (15%)</t>
  </si>
  <si>
    <t xml:space="preserve">Shipping &amp; Handling (est. 5%)</t>
  </si>
  <si>
    <t xml:space="preserve">TOTAL ESTIMATED SYSTEM COST</t>
  </si>
  <si>
    <t xml:space="preserve">NOTES:</t>
  </si>
  <si>
    <t xml:space="preserve">1. Prices are estimated COTS retail as of March 2026; GSA/GPC pricing may yield 10-20% savings.</t>
  </si>
  <si>
    <t xml:space="preserve">2. EchoGuard pricing est. ~$18K/unit based on defense/govt pricing. Contact Echodyne for exact quote.</t>
  </si>
  <si>
    <t xml:space="preserve">3. RFD900x modems are NDAA compliant (Section 848 FY20, Section 817 FY23).</t>
  </si>
  <si>
    <t xml:space="preserve">4. Total software development: 960 hrs (RF/acoustic/EO-IR) + 300 hrs (radar integration) = 1,260 engineer-hours.</t>
  </si>
  <si>
    <t xml:space="preserve">5. 6 radar towers x 3 EchoGuard units = 18 radars providing 360° hemispherical coverage at each tower.</t>
  </si>
  <si>
    <t xml:space="preserve">6. Radar placement: NW corner, NE perimeter, E perimeter, SE corner, SW perimeter, Flight Line interior.</t>
  </si>
  <si>
    <t xml:space="preserve">7. EchoGuard specs: 120° Az x 80° El FOV, K-band, ~1km sUAS detection, 20 simultaneous tracks, IP67, &lt;50W.</t>
  </si>
  <si>
    <t xml:space="preserve">8. Four sensor phenomenologies: RF (DF + TDOA), Acoustic (MEMS beamforming), EO/IR (thermal + HD), Radar (ESA).</t>
  </si>
  <si>
    <t xml:space="preserve">9. GPS spoofing / EA capability requires spectrum management coordination and appropriate authorization.</t>
  </si>
  <si>
    <t xml:space="preserve">10. Total system: 66 DF sub-nodes, 5 EA transmitters, 12 acoustic arrays, 6 EO/IR turrets, 18 radars, 1 C2 server.</t>
  </si>
  <si>
    <t xml:space="preserve">RF C-UAS DETECTION &amp; ELECTRONIC REDIRECT MESH — BILL OF MATERIALS</t>
  </si>
  <si>
    <t xml:space="preserve">Shaw AFB, Sumter SC | UNCLASSIFIED // FOUO | All Nodes Interior to Installation Boundary</t>
  </si>
  <si>
    <t xml:space="preserve">Passive RF Sensor Node w/ 3-Element DF Array (Qty: 17 node clusters)</t>
  </si>
  <si>
    <t xml:space="preserve">Line</t>
  </si>
  <si>
    <t xml:space="preserve">Component</t>
  </si>
  <si>
    <t xml:space="preserve">Vendor / Mfr</t>
  </si>
  <si>
    <t xml:space="preserve">Vendor URL</t>
  </si>
  <si>
    <t xml:space="preserve">Unit Cost</t>
  </si>
  <si>
    <t xml:space="preserve">Ext Cost</t>
  </si>
  <si>
    <t xml:space="preserve">1.1</t>
  </si>
  <si>
    <t xml:space="preserve">Ettus B205mini-i SDR (70 MHz–6 GHz, 1x1, USB 3.0)</t>
  </si>
  <si>
    <t xml:space="preserve">Ettus Research / NI</t>
  </si>
  <si>
    <t xml:space="preserve">https://www.ettus.com/all-products/usrp-b205mini-i/</t>
  </si>
  <si>
    <t xml:space="preserve">1.2</t>
  </si>
  <si>
    <t xml:space="preserve">Wideband Discone Antenna 25–6000 MHz (per sub-node)</t>
  </si>
  <si>
    <t xml:space="preserve">Diamond / Amazon</t>
  </si>
  <si>
    <t xml:space="preserve">https://www.amazon.com/dp/B004M8SPGQ</t>
  </si>
  <si>
    <t xml:space="preserve">1.3</t>
  </si>
  <si>
    <t xml:space="preserve">LMR-240 Coax Cable 15 ft (matched-length, antenna to enclosure)</t>
  </si>
  <si>
    <t xml:space="preserve">Times Microwave / Pasternack</t>
  </si>
  <si>
    <t xml:space="preserve">https://www.pasternack.com</t>
  </si>
  <si>
    <t xml:space="preserve">1.4</t>
  </si>
  <si>
    <t xml:space="preserve">Leo Bodnar GPSDO 10 MHz Reference Clock (shared, phase sync)</t>
  </si>
  <si>
    <t xml:space="preserve">Leo Bodnar Electronics</t>
  </si>
  <si>
    <t xml:space="preserve">https://www.leobodnar.com/shop/index.php?main_page=product_info&amp;products_id=234</t>
  </si>
  <si>
    <t xml:space="preserve">1.5</t>
  </si>
  <si>
    <t xml:space="preserve">SMA Power Splitter 1-to-3 (10 MHz ref distribution)</t>
  </si>
  <si>
    <t xml:space="preserve">Mini-Circuits / Mouser</t>
  </si>
  <si>
    <t xml:space="preserve">https://www.minicircuits.com</t>
  </si>
  <si>
    <t xml:space="preserve">1.6</t>
  </si>
  <si>
    <t xml:space="preserve">Triangular Antenna Mast Frame (Al, 3–5m baseline, custom fab)</t>
  </si>
  <si>
    <t xml:space="preserve">8020 / McMaster-Carr</t>
  </si>
  <si>
    <t xml:space="preserve">https://www.mcmaster.com</t>
  </si>
  <si>
    <t xml:space="preserve">1.7</t>
  </si>
  <si>
    <t xml:space="preserve">USB 3.0 4-Port Industrial Hub (connects 3 SDRs to compute)</t>
  </si>
  <si>
    <t xml:space="preserve">Coolgear / Amazon</t>
  </si>
  <si>
    <t xml:space="preserve">https://www.amazon.com</t>
  </si>
  <si>
    <t xml:space="preserve">2.1</t>
  </si>
  <si>
    <t xml:space="preserve">NVIDIA Jetson Orin Nano Super Dev Kit (67 TOPS, 3-stream DF)</t>
  </si>
  <si>
    <t xml:space="preserve">NVIDIA / Amazon</t>
  </si>
  <si>
    <t xml:space="preserve">https://www.amazon.com/NVIDIA-Jetson-Orin-Nano-Developer/dp/B0BZJTQ5YP</t>
  </si>
  <si>
    <t xml:space="preserve">2.2</t>
  </si>
  <si>
    <t xml:space="preserve">Samsung 990 EVO NVMe SSD 1 TB + M.2 HAT</t>
  </si>
  <si>
    <t xml:space="preserve">Samsung / Amazon</t>
  </si>
  <si>
    <t xml:space="preserve">https://www.amazon.com/dp/B0D9B3YGD5</t>
  </si>
  <si>
    <t xml:space="preserve">3.1</t>
  </si>
  <si>
    <t xml:space="preserve">RFD900x-US Modem (FCC, NDAA Compliant)</t>
  </si>
  <si>
    <t xml:space="preserve">RFDesign (via NW Blue)</t>
  </si>
  <si>
    <t xml:space="preserve">https://nwblue.com/products/rfd-900x-us-telemetry-modem</t>
  </si>
  <si>
    <t xml:space="preserve">3.2</t>
  </si>
  <si>
    <t xml:space="preserve">900 MHz Half-Wave Dipole Antenna 3 dBi (backhaul)</t>
  </si>
  <si>
    <t xml:space="preserve">RFDesign</t>
  </si>
  <si>
    <t xml:space="preserve">https://rfdesign.com.au/modems/</t>
  </si>
  <si>
    <t xml:space="preserve">4.1</t>
  </si>
  <si>
    <t xml:space="preserve">NEMA 4X Polycarbonate Enclosure 16x14x8 w/ Pole Mount</t>
  </si>
  <si>
    <t xml:space="preserve">Altelix</t>
  </si>
  <si>
    <t xml:space="preserve">https://altelix.com/weatherproof-nema-enclosures/nema-enclosures-by-features/nema-4x-weatherproof-enclosures/</t>
  </si>
  <si>
    <t xml:space="preserve">4.2</t>
  </si>
  <si>
    <t xml:space="preserve">200W Solar Panel Kit (Mono, 12V)</t>
  </si>
  <si>
    <t xml:space="preserve">Renogy / Amazon</t>
  </si>
  <si>
    <t xml:space="preserve">https://www.amazon.com/Renogy-Watts-Monocrystalline-Solar-Panel/dp/B07GF5JY35</t>
  </si>
  <si>
    <t xml:space="preserve">4.3</t>
  </si>
  <si>
    <t xml:space="preserve">12V 100Ah LiFePO4 Battery</t>
  </si>
  <si>
    <t xml:space="preserve">Ampere Time / Amazon</t>
  </si>
  <si>
    <t xml:space="preserve">https://www.amazon.com/dp/B084DB36SW</t>
  </si>
  <si>
    <t xml:space="preserve">4.4</t>
  </si>
  <si>
    <t xml:space="preserve">MPPT Solar Charge Controller 30A</t>
  </si>
  <si>
    <t xml:space="preserve">Victron Energy / Amazon</t>
  </si>
  <si>
    <t xml:space="preserve">4.5</t>
  </si>
  <si>
    <t xml:space="preserve">12V to 5V/5A USB-C Buck Converter (x2 for compute + SDRs)</t>
  </si>
  <si>
    <t xml:space="preserve">DFRobot / Amazon</t>
  </si>
  <si>
    <t xml:space="preserve">https://www.amazon.com/dp/B0BXHF47FJ</t>
  </si>
  <si>
    <t xml:space="preserve">5.1</t>
  </si>
  <si>
    <t xml:space="preserve">SMA Cables, Adapters, Lightning Arrestors Kit (x3 runs)</t>
  </si>
  <si>
    <t xml:space="preserve">Pasternack / Amazon</t>
  </si>
  <si>
    <t xml:space="preserve">5.2</t>
  </si>
  <si>
    <t xml:space="preserve">Ethernet Cable, Cat6 Outdoor Shielded (25 ft)</t>
  </si>
  <si>
    <t xml:space="preserve">Monoprice</t>
  </si>
  <si>
    <t xml:space="preserve">https://www.monoprice.com</t>
  </si>
  <si>
    <t xml:space="preserve">5.3</t>
  </si>
  <si>
    <t xml:space="preserve">Cable Glands, Mounting Hardware, Zip Ties Kit</t>
  </si>
  <si>
    <t xml:space="preserve">Various / Amazon</t>
  </si>
  <si>
    <t xml:space="preserve">5.4</t>
  </si>
  <si>
    <t xml:space="preserve">MicroSD 128 GB A2 (backup boot)</t>
  </si>
  <si>
    <t xml:space="preserve">https://www.amazon.com/dp/B09B1HMJ9Z</t>
  </si>
  <si>
    <t xml:space="preserve">SUBTOTAL PER SENSOR NODE CLUSTER</t>
  </si>
  <si>
    <t xml:space="preserve">x 17 Sensor Node Clusters (51 total sub-nodes)</t>
  </si>
  <si>
    <t xml:space="preserve">Electronic Attack (EA) Node — Per-Node BOM</t>
  </si>
  <si>
    <t xml:space="preserve">EA Nodes provide active RF jamming, GPS spoofing, protocol injection + 3-element DF array (Qty: 5 nodes)</t>
  </si>
  <si>
    <t xml:space="preserve">Ettus B205mini-i SDR (70 MHz–6 GHz, 1x1, DF array RX)</t>
  </si>
  <si>
    <t xml:space="preserve">Wideband Discone Antenna 25–6000 MHz (DF sub-node)</t>
  </si>
  <si>
    <t xml:space="preserve">LMR-240 Coax Cable 15 ft (matched-length, DF array)</t>
  </si>
  <si>
    <t xml:space="preserve">Leo Bodnar GPSDO 10 MHz Reference Clock (shared phase sync)</t>
  </si>
  <si>
    <t xml:space="preserve">SMA Power Splitter 1-to-4 (10 MHz ref: 3 DF + X310)</t>
  </si>
  <si>
    <t xml:space="preserve">Triangular Antenna Mast Frame (Al, 3–5m baseline, DF array)</t>
  </si>
  <si>
    <t xml:space="preserve">USB 3.0 4-Port Industrial Hub (3 DF SDRs to compute)</t>
  </si>
  <si>
    <t xml:space="preserve">USRP X310 SDR Kit (DC–6 GHz, Kintex-7 FPGA, EA TX/RX)</t>
  </si>
  <si>
    <t xml:space="preserve">https://www.ettus.com/all-products/x310-kit/</t>
  </si>
  <si>
    <t xml:space="preserve">UBX-160 Daughterboard (10 MHz–6 GHz, 160 MHz BW)</t>
  </si>
  <si>
    <t xml:space="preserve">https://www.ettus.com/all-products/ubx160/</t>
  </si>
  <si>
    <t xml:space="preserve">2.3</t>
  </si>
  <si>
    <t xml:space="preserve">RF Power Amplifier 2.4 GHz 10W (jamming/injection TX)</t>
  </si>
  <si>
    <t xml:space="preserve">2.4</t>
  </si>
  <si>
    <t xml:space="preserve">RF Power Amplifier 5.8 GHz 5W (jamming/injection TX)</t>
  </si>
  <si>
    <t xml:space="preserve">2.5</t>
  </si>
  <si>
    <t xml:space="preserve">GPS L1 Spoofer Signal Generator Module</t>
  </si>
  <si>
    <t xml:space="preserve">Custom / COTS Signal Gen</t>
  </si>
  <si>
    <t xml:space="preserve">https://www.ettus.com</t>
  </si>
  <si>
    <t xml:space="preserve">Directional Panel Antenna 2.4 GHz 14 dBi (EA TX)</t>
  </si>
  <si>
    <t xml:space="preserve">L-com / Infinite Electronics</t>
  </si>
  <si>
    <t xml:space="preserve">https://www.l-com.com/antenna</t>
  </si>
  <si>
    <t xml:space="preserve">Directional Panel Antenna 5.8 GHz 14 dBi (EA TX)</t>
  </si>
  <si>
    <t xml:space="preserve">3.3</t>
  </si>
  <si>
    <t xml:space="preserve">GPS L1 Patch Antenna (spoofing TX)</t>
  </si>
  <si>
    <t xml:space="preserve">Tallysman / Digikey</t>
  </si>
  <si>
    <t xml:space="preserve">https://www.digikey.com</t>
  </si>
  <si>
    <t xml:space="preserve">3.4</t>
  </si>
  <si>
    <t xml:space="preserve">SMA Antenna, 900 MHz 6 dBi Omni (mesh backhaul)</t>
  </si>
  <si>
    <t xml:space="preserve">NVIDIA Jetson Orin NX 16 GB Module (DF + EA control)</t>
  </si>
  <si>
    <t xml:space="preserve">NVIDIA / Arrow</t>
  </si>
  <si>
    <t xml:space="preserve">https://www.arrow.com</t>
  </si>
  <si>
    <t xml:space="preserve">Jetson Orin NX Carrier Board</t>
  </si>
  <si>
    <t xml:space="preserve">Seeed Studio / Amazon</t>
  </si>
  <si>
    <t xml:space="preserve">https://www.seeedstudio.com</t>
  </si>
  <si>
    <t xml:space="preserve">Samsung 990 EVO NVMe SSD 2 TB</t>
  </si>
  <si>
    <t xml:space="preserve">10 GbE SFP+ NIC (X310 connection)</t>
  </si>
  <si>
    <t xml:space="preserve">Intel / Amazon</t>
  </si>
  <si>
    <t xml:space="preserve">6.1</t>
  </si>
  <si>
    <t xml:space="preserve">NEMA 4X Steel Enclosure 24x20x10 w/ Pole Mount</t>
  </si>
  <si>
    <t xml:space="preserve">Altelix / Polycase</t>
  </si>
  <si>
    <t xml:space="preserve">https://altelix.com/weatherproof-nema-enclosures/</t>
  </si>
  <si>
    <t xml:space="preserve">6.2</t>
  </si>
  <si>
    <t xml:space="preserve">AC Power Supply 48V 800W (hardwired, DF + EA load)</t>
  </si>
  <si>
    <t xml:space="preserve">Mean Well / Mouser</t>
  </si>
  <si>
    <t xml:space="preserve">https://www.mouser.com</t>
  </si>
  <si>
    <t xml:space="preserve">6.3</t>
  </si>
  <si>
    <t xml:space="preserve">UPS Battery Backup Module 12V</t>
  </si>
  <si>
    <t xml:space="preserve">CyberPower / Amazon</t>
  </si>
  <si>
    <t xml:space="preserve">7.1</t>
  </si>
  <si>
    <t xml:space="preserve">SMA/N-Type Cables, Adapters, Attenuators Kit (DF + EA)</t>
  </si>
  <si>
    <t xml:space="preserve">7.2</t>
  </si>
  <si>
    <t xml:space="preserve">Cat6a Shielded Ethernet Cable (50 ft, outdoor)</t>
  </si>
  <si>
    <t xml:space="preserve">7.3</t>
  </si>
  <si>
    <t xml:space="preserve">RF Coax Low-Loss LMR-400 Cables (6 ft) x4 (EA TX runs)</t>
  </si>
  <si>
    <t xml:space="preserve">7.4</t>
  </si>
  <si>
    <t xml:space="preserve">Cable Glands, Grounding Kit, Surge Protectors</t>
  </si>
  <si>
    <t xml:space="preserve">SUBTOTAL PER EA NODE (w/ DF ARRAY)</t>
  </si>
  <si>
    <t xml:space="preserve">x 5 EA Node Clusters (15 DF sub-nodes + 5 X310 TX)</t>
  </si>
  <si>
    <t xml:space="preserve">C2 Fusion Server &amp; Network Infrastructure</t>
  </si>
  <si>
    <t xml:space="preserve">Central processing, fusion, classification, and operator interface (Qty: 1 system, redundant)</t>
  </si>
  <si>
    <t xml:space="preserve">Dell PowerEdge R660xs 1U Rack Server (Xeon, 64 GB, 2x 2TB NVMe)</t>
  </si>
  <si>
    <t xml:space="preserve">Dell Technologies</t>
  </si>
  <si>
    <t xml:space="preserve">https://www.dell.com/en-us/shop/servers-storage-and-networking/poweredge-r660xs-rack-server/spd/poweredge-r660xs/pe_r660xs_tm_vi_vp_sb</t>
  </si>
  <si>
    <t xml:space="preserve">NVIDIA T1000 GPU (for ML inference)</t>
  </si>
  <si>
    <t xml:space="preserve">NVIDIA / CDW</t>
  </si>
  <si>
    <t xml:space="preserve">https://www.cdw.com</t>
  </si>
  <si>
    <t xml:space="preserve">Dell 10 GbE Dual-Port SFP+ NIC</t>
  </si>
  <si>
    <t xml:space="preserve">https://www.dell.com</t>
  </si>
  <si>
    <t xml:space="preserve">APC Smart-UPS 1500VA Rack Mount</t>
  </si>
  <si>
    <t xml:space="preserve">APC / Amazon</t>
  </si>
  <si>
    <t xml:space="preserve">https://www.amazon.com/dp/B00KH3HTOC</t>
  </si>
  <si>
    <t xml:space="preserve">Cisco/Ubiquiti 24-Port Managed Switch (PoE+)</t>
  </si>
  <si>
    <t xml:space="preserve">Ubiquiti / Amazon</t>
  </si>
  <si>
    <t xml:space="preserve">RFD900x-US Modem (mesh gateway node)</t>
  </si>
  <si>
    <t xml:space="preserve">900 MHz Yagi Antenna 9 dBi (gateway)</t>
  </si>
  <si>
    <t xml:space="preserve">Dell Latitude 5540 Rugged Laptop (operator interface)</t>
  </si>
  <si>
    <t xml:space="preserve">27-inch Monitor (COP display)</t>
  </si>
  <si>
    <t xml:space="preserve">GNU Radio (open source, no cost)</t>
  </si>
  <si>
    <t xml:space="preserve">GNU Radio Project</t>
  </si>
  <si>
    <t xml:space="preserve">https://www.gnuradio.org</t>
  </si>
  <si>
    <t xml:space="preserve">UHD Driver (open source, no cost)</t>
  </si>
  <si>
    <t xml:space="preserve">Ettus Research</t>
  </si>
  <si>
    <t xml:space="preserve">https://github.com/EttusResearch/uhd</t>
  </si>
  <si>
    <t xml:space="preserve">Python/PyTorch ML Stack (open source, no cost)</t>
  </si>
  <si>
    <t xml:space="preserve">PyTorch Foundation</t>
  </si>
  <si>
    <t xml:space="preserve">https://pytorch.org</t>
  </si>
  <si>
    <t xml:space="preserve">Custom Software Development (est. 480 engineer-hrs @ $150/hr)</t>
  </si>
  <si>
    <t xml:space="preserve">Organic / Contractor</t>
  </si>
  <si>
    <t xml:space="preserve">N/A — labor estimate</t>
  </si>
  <si>
    <t xml:space="preserve">6U Wall-Mount Server Rack w/ Fans</t>
  </si>
  <si>
    <t xml:space="preserve">StarTech / Amazon</t>
  </si>
  <si>
    <t xml:space="preserve">Cabling, Patch Panels, Power Strips</t>
  </si>
  <si>
    <t xml:space="preserve">Various / Monoprice</t>
  </si>
  <si>
    <t xml:space="preserve">SUBTOTAL C2 &amp; INFRASTRUCTURE</t>
  </si>
  <si>
    <t xml:space="preserve">Acoustic / EO-IR Augmentation Layer — RF-Silent Threat Coverage</t>
  </si>
  <si>
    <t xml:space="preserve">Detects autonomous GPS-waypoint sUAS with no active RF control link. Full perimeter + HVT coverage.</t>
  </si>
  <si>
    <t xml:space="preserve">ACOUSTIC SENSOR ARRAY NODE (Qty: 12 nodes — perimeter ring + HVT sectors)</t>
  </si>
  <si>
    <t xml:space="preserve">Knowles SPH0645LM4H-B I2S MEMS Microphone (x16 per array)</t>
  </si>
  <si>
    <t xml:space="preserve">Knowles / Mouser</t>
  </si>
  <si>
    <t xml:space="preserve">https://www.mouser.com/ProductDetail/Knowles/SPH0645LM4H-B</t>
  </si>
  <si>
    <t xml:space="preserve">Custom PCB, Circular Array Layout (16-ch, designed for BF)</t>
  </si>
  <si>
    <t xml:space="preserve">PCBWay / JLCPCB</t>
  </si>
  <si>
    <t xml:space="preserve">https://www.pcbway.com</t>
  </si>
  <si>
    <t xml:space="preserve">Teensy 4.1 (Audio Shield + 16-ch TDM acquisition)</t>
  </si>
  <si>
    <t xml:space="preserve">PJRC / SparkFun</t>
  </si>
  <si>
    <t xml:space="preserve">https://www.sparkfun.com/teensy-4-1.html</t>
  </si>
  <si>
    <t xml:space="preserve">Acoustic Windscreen Foam Housing (weather, custom 3D print)</t>
  </si>
  <si>
    <t xml:space="preserve">Custom / McMaster-Carr</t>
  </si>
  <si>
    <t xml:space="preserve">NVIDIA Jetson Orin Nano Super Dev Kit (67 TOPS, edge AI)</t>
  </si>
  <si>
    <t xml:space="preserve">Samsung 990 EVO NVMe SSD 512 GB + M.2 HAT</t>
  </si>
  <si>
    <t xml:space="preserve">RFD900x-US Modem (FCC, NDAA Compliant — ties into RF mesh)</t>
  </si>
  <si>
    <t xml:space="preserve">900 MHz Half-Wave Dipole Antenna 3 dBi</t>
  </si>
  <si>
    <t xml:space="preserve">GPS Module u-blox NEO-M9N (time sync for multi-node TDOA)</t>
  </si>
  <si>
    <t xml:space="preserve">u-blox / SparkFun</t>
  </si>
  <si>
    <t xml:space="preserve">https://www.sparkfun.com/sparkfun-gps-breakout-neo-m9n-sma.html</t>
  </si>
  <si>
    <t xml:space="preserve">NEMA 4X Polycarbonate Enclosure 10x8x6 w/ Pole Mount</t>
  </si>
  <si>
    <t xml:space="preserve">100W Solar Panel Kit (Mono, 12V)</t>
  </si>
  <si>
    <t xml:space="preserve">https://www.amazon.com/Renogy-Monocrystalline-Solar-Panel/dp/B09TPGD3V9</t>
  </si>
  <si>
    <t xml:space="preserve">12V 30Ah LiFePO4 Battery</t>
  </si>
  <si>
    <t xml:space="preserve">MPPT Solar Charge Controller 10A</t>
  </si>
  <si>
    <t xml:space="preserve">12V to 5V USB-C Buck Converter</t>
  </si>
  <si>
    <t xml:space="preserve">Cables, Glands, Mounting Hardware Kit</t>
  </si>
  <si>
    <t xml:space="preserve">SUBTOTAL PER ACOUSTIC NODE</t>
  </si>
  <si>
    <t xml:space="preserve">x 12 Acoustic Nodes</t>
  </si>
  <si>
    <t xml:space="preserve">EO/IR TRACKING TURRET (Qty: 6 turrets — flight line, munitions, cantonment, approach corridors)</t>
  </si>
  <si>
    <t xml:space="preserve">SPI M1-D EO/IR PTZ Gimbal (LWIR + HD Zoom, stabilized)</t>
  </si>
  <si>
    <t xml:space="preserve">SPI Corp</t>
  </si>
  <si>
    <t xml:space="preserve">https://www.x20.org/product/m1-d-micro-ptz-infrared-camera/</t>
  </si>
  <si>
    <t xml:space="preserve">AI Auto-Tracker Module (MVP/9960, object tracking + geo)</t>
  </si>
  <si>
    <t xml:space="preserve">https://www.x20.org</t>
  </si>
  <si>
    <t xml:space="preserve">NVIDIA Jetson Orin Nano Super Dev Kit (CNN inference)</t>
  </si>
  <si>
    <t xml:space="preserve">8.1</t>
  </si>
  <si>
    <t xml:space="preserve">Heavy-Duty Pan-Tilt Pole Mount Bracket (stainless)</t>
  </si>
  <si>
    <t xml:space="preserve">Dotworkz / Amazon</t>
  </si>
  <si>
    <t xml:space="preserve">8.2</t>
  </si>
  <si>
    <t xml:space="preserve">PoE++ Injector 60W (802.3bt, powers turret + compute)</t>
  </si>
  <si>
    <t xml:space="preserve">9.1</t>
  </si>
  <si>
    <t xml:space="preserve">Cat6a Outdoor Shielded Ethernet 100 ft (back to C2)</t>
  </si>
  <si>
    <t xml:space="preserve">9.2</t>
  </si>
  <si>
    <t xml:space="preserve">IR Illuminator 850nm (augments night tracking)</t>
  </si>
  <si>
    <t xml:space="preserve">Vivotek / Amazon</t>
  </si>
  <si>
    <t xml:space="preserve">9.3</t>
  </si>
  <si>
    <t xml:space="preserve">Cables, Adapters, Weatherproofing Kit</t>
  </si>
  <si>
    <t xml:space="preserve">SUBTOTAL PER EO/IR TURRET</t>
  </si>
  <si>
    <t xml:space="preserve">x 6 EO/IR Turrets</t>
  </si>
  <si>
    <t xml:space="preserve">AUGMENTATION SOFTWARE DEVELOPMENT</t>
  </si>
  <si>
    <t xml:space="preserve">10.1</t>
  </si>
  <si>
    <t xml:space="preserve">Acoustic CNN Classifier (drone vs ambient, training + deploy)</t>
  </si>
  <si>
    <t xml:space="preserve">10.2</t>
  </si>
  <si>
    <t xml:space="preserve">EO/IR CNN Detector (aerial object detection, VisDrone-style)</t>
  </si>
  <si>
    <t xml:space="preserve">10.3</t>
  </si>
  <si>
    <t xml:space="preserve">Sensor Fusion Engine (acoustic + EO/IR + RF track correlation)</t>
  </si>
  <si>
    <t xml:space="preserve">10.4</t>
  </si>
  <si>
    <t xml:space="preserve">C2 UI Integration (augmented COP display, fused tracks)</t>
  </si>
  <si>
    <t xml:space="preserve">SUBTOTAL AUGMENTATION SOFTWARE</t>
  </si>
  <si>
    <t xml:space="preserve">TOTAL AUGMENTATION LAYER</t>
  </si>
  <si>
    <t xml:space="preserve">Echodyne EchoGuard Radar Layer — 4th Sensor Phenomenology</t>
  </si>
  <si>
    <t xml:space="preserve">K-band ESA radar provides weather/lighting-independent detection of all aerial targets including RF-silent &amp; GPS-denied platforms</t>
  </si>
  <si>
    <t xml:space="preserve">RADAR TOWER (Qty: 6 towers x 3 EchoGuard units = 18 radars for 360° hemispherical coverage)</t>
  </si>
  <si>
    <t xml:space="preserve">Echodyne EchoGuard ESA Radar (K-band, 120° Az x 80° El)</t>
  </si>
  <si>
    <t xml:space="preserve">Echodyne</t>
  </si>
  <si>
    <t xml:space="preserve">https://www.echodyne.com/radar-solutions-1/echoguard/</t>
  </si>
  <si>
    <t xml:space="preserve">Echodyne Tower Mounting Kit (3-unit 360° config)</t>
  </si>
  <si>
    <t xml:space="preserve">Echodyne Software &amp; Support Package (per tower, annual)</t>
  </si>
  <si>
    <t xml:space="preserve">Echodyne RadarHub (multi-radar networking, track fusion)</t>
  </si>
  <si>
    <t xml:space="preserve">Managed PoE++ Switch 8-Port (powers 3 radars + RadarHub)</t>
  </si>
  <si>
    <t xml:space="preserve">Cat6a Outdoor Shielded Ethernet (50 ft, per radar run)</t>
  </si>
  <si>
    <t xml:space="preserve">RFD900x-US Modem (ties radar tower into C2 mesh)</t>
  </si>
  <si>
    <t xml:space="preserve">Aluminum Radar Tower Mast 20 ft w/ Guy Wires (elevates radar FOV)</t>
  </si>
  <si>
    <t xml:space="preserve">Rohn / DX Engineering</t>
  </si>
  <si>
    <t xml:space="preserve">https://www.dxengineering.com</t>
  </si>
  <si>
    <t xml:space="preserve">AC Power Supply 48V 300W (hardwired to tower)</t>
  </si>
  <si>
    <t xml:space="preserve">UPS Battery Backup 600VA (radar continuity)</t>
  </si>
  <si>
    <t xml:space="preserve">NEMA 4X Steel Enclosure 16x12x8 (network/power equipment)</t>
  </si>
  <si>
    <t xml:space="preserve">Lightning Arrestors, Grounding Kit, Surge Protection</t>
  </si>
  <si>
    <t xml:space="preserve">Polyphaser / Amazon</t>
  </si>
  <si>
    <t xml:space="preserve">Cable Glands, Conduit, Mounting Hardware</t>
  </si>
  <si>
    <t xml:space="preserve">SUBTOTAL PER RADAR TOWER (3 EchoGuards)</t>
  </si>
  <si>
    <t xml:space="preserve">x 6 Radar Towers (18 EchoGuard units total)</t>
  </si>
  <si>
    <t xml:space="preserve">RADAR INTEGRATION SOFTWARE</t>
  </si>
  <si>
    <t xml:space="preserve">Radar-to-C2 API Integration (EchoGuard TCP/IP → fusion engine)</t>
  </si>
  <si>
    <t xml:space="preserve">Radar Track Fusion w/ RF + Acoustic + EO/IR (multi-modal)</t>
  </si>
  <si>
    <t xml:space="preserve">Radar-Cued EA Handoff Logic (auto-engage from radar track)</t>
  </si>
  <si>
    <t xml:space="preserve">6.4</t>
  </si>
  <si>
    <t xml:space="preserve">COP Display Update (radar overlay, fused track symbology)</t>
  </si>
  <si>
    <t xml:space="preserve">SUBTOTAL RADAR SOFTWARE</t>
  </si>
  <si>
    <t xml:space="preserve">TOTAL RADAR LAYER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</si>
</sst>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666666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2E75B6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2"/>
      <color rgb="FF7F6000"/>
      <name val="Arial"/>
      <family val="0"/>
      <charset val="1"/>
    </font>
    <font>
      <b val="true"/>
      <sz val="12"/>
      <color rgb="FF5B2C6F"/>
      <name val="Arial"/>
      <family val="0"/>
      <charset val="1"/>
    </font>
    <font>
      <b val="true"/>
      <sz val="11"/>
      <color rgb="FF5B2C6F"/>
      <name val="Arial"/>
      <family val="0"/>
      <charset val="1"/>
    </font>
    <font>
      <b val="true"/>
      <sz val="12"/>
      <color rgb="FF006400"/>
      <name val="Arial"/>
      <family val="0"/>
      <charset val="1"/>
    </font>
    <font>
      <b val="true"/>
      <sz val="11"/>
      <color rgb="FF0064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C6EFCE"/>
        <bgColor rgb="FFC6E0B4"/>
      </patternFill>
    </fill>
    <fill>
      <patternFill patternType="solid">
        <fgColor rgb="FFD6E4F0"/>
        <bgColor rgb="FFE8DAEF"/>
      </patternFill>
    </fill>
    <fill>
      <patternFill patternType="solid">
        <fgColor rgb="FFBDD7EE"/>
        <bgColor rgb="FFD6E4F0"/>
      </patternFill>
    </fill>
    <fill>
      <patternFill patternType="solid">
        <fgColor rgb="FFF2DCDB"/>
        <bgColor rgb="FFE8DAEF"/>
      </patternFill>
    </fill>
    <fill>
      <patternFill patternType="solid">
        <fgColor rgb="FFE8DAEF"/>
        <bgColor rgb="FFF2DCDB"/>
      </patternFill>
    </fill>
    <fill>
      <patternFill patternType="solid">
        <fgColor rgb="FFD7BDE2"/>
        <bgColor rgb="FFE8DAEF"/>
      </patternFill>
    </fill>
    <fill>
      <patternFill patternType="solid">
        <fgColor rgb="FFC6E0B4"/>
        <bgColor rgb="FFC6EFCE"/>
      </patternFill>
    </fill>
    <fill>
      <patternFill patternType="solid">
        <fgColor rgb="FFA9D18E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7F6000"/>
      <rgbColor rgb="FF800080"/>
      <rgbColor rgb="FF008080"/>
      <rgbColor rgb="FFD7BDE2"/>
      <rgbColor rgb="FF808080"/>
      <rgbColor rgb="FF9999FF"/>
      <rgbColor rgb="FF993366"/>
      <rgbColor rgb="FFE2EFDA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DAEF"/>
      <rgbColor rgb="FFC6EFCE"/>
      <rgbColor rgb="FFFFFF99"/>
      <rgbColor rgb="FFC6E0B4"/>
      <rgbColor rgb="FFFF99CC"/>
      <rgbColor rgb="FFCC99FF"/>
      <rgbColor rgb="FFF2DCDB"/>
      <rgbColor rgb="FF2E75B6"/>
      <rgbColor rgb="FF33CCCC"/>
      <rgbColor rgb="FF99CC00"/>
      <rgbColor rgb="FFFFCC00"/>
      <rgbColor rgb="FFFF9900"/>
      <rgbColor rgb="FFFF6600"/>
      <rgbColor rgb="FF666666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5B2C6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</row>
    <row r="5" customFormat="false" ht="15" hidden="false" customHeight="true" outlineLevel="0" collapsed="false">
      <c r="A5" s="4"/>
      <c r="B5" s="4" t="s">
        <v>2</v>
      </c>
      <c r="C5" s="4"/>
      <c r="D5" s="4" t="s">
        <v>3</v>
      </c>
      <c r="E5" s="4"/>
      <c r="F5" s="4" t="s">
        <v>4</v>
      </c>
      <c r="G5" s="4" t="s">
        <v>5</v>
      </c>
    </row>
    <row r="6" customFormat="false" ht="15" hidden="false" customHeight="true" outlineLevel="0" collapsed="false">
      <c r="A6" s="5" t="s">
        <v>6</v>
      </c>
      <c r="B6" s="5" t="s">
        <v>7</v>
      </c>
      <c r="C6" s="5"/>
      <c r="D6" s="5" t="s">
        <v>8</v>
      </c>
      <c r="E6" s="6"/>
      <c r="F6" s="6" t="n">
        <v>17</v>
      </c>
      <c r="G6" s="6" t="n">
        <f aca="false">'Passive Sensor Nodes'!G27</f>
        <v>65688</v>
      </c>
    </row>
    <row r="7" customFormat="false" ht="15" hidden="false" customHeight="true" outlineLevel="0" collapsed="false">
      <c r="A7" s="5" t="s">
        <v>9</v>
      </c>
      <c r="B7" s="5" t="s">
        <v>10</v>
      </c>
      <c r="C7" s="5"/>
      <c r="D7" s="5" t="s">
        <v>11</v>
      </c>
      <c r="E7" s="6"/>
      <c r="F7" s="6" t="n">
        <v>5</v>
      </c>
      <c r="G7" s="6" t="n">
        <f aca="false">'EA Nodes'!G34</f>
        <v>85740</v>
      </c>
    </row>
    <row r="8" customFormat="false" ht="15" hidden="false" customHeight="true" outlineLevel="0" collapsed="false">
      <c r="A8" s="5" t="s">
        <v>12</v>
      </c>
      <c r="B8" s="5" t="s">
        <v>13</v>
      </c>
      <c r="C8" s="5"/>
      <c r="D8" s="5" t="s">
        <v>14</v>
      </c>
      <c r="E8" s="6"/>
      <c r="F8" s="6" t="n">
        <v>1</v>
      </c>
      <c r="G8" s="6" t="n">
        <f aca="false">'C2 Server &amp; Infrastructure'!G20</f>
        <v>82200</v>
      </c>
    </row>
    <row r="9" customFormat="false" ht="15" hidden="false" customHeight="true" outlineLevel="0" collapsed="false">
      <c r="A9" s="5" t="s">
        <v>15</v>
      </c>
      <c r="B9" s="5" t="s">
        <v>16</v>
      </c>
      <c r="C9" s="5"/>
      <c r="D9" s="5" t="s">
        <v>17</v>
      </c>
      <c r="E9" s="6"/>
      <c r="F9" s="6" t="n">
        <v>1</v>
      </c>
      <c r="G9" s="6" t="n">
        <f aca="false">'Acoustic EO-IR Augmentation'!G45</f>
        <v>121296</v>
      </c>
    </row>
    <row r="10" customFormat="false" ht="15" hidden="false" customHeight="true" outlineLevel="0" collapsed="false">
      <c r="A10" s="5" t="s">
        <v>18</v>
      </c>
      <c r="B10" s="5" t="s">
        <v>19</v>
      </c>
      <c r="C10" s="5"/>
      <c r="D10" s="5" t="s">
        <v>20</v>
      </c>
      <c r="E10" s="6"/>
      <c r="F10" s="6" t="n">
        <v>1</v>
      </c>
      <c r="G10" s="6" t="n">
        <f aca="false">'Radar Layer'!G31</f>
        <v>442530</v>
      </c>
    </row>
    <row r="11" customFormat="false" ht="15" hidden="false" customHeight="true" outlineLevel="0" collapsed="false">
      <c r="A11" s="7"/>
      <c r="B11" s="7"/>
      <c r="C11" s="7"/>
      <c r="D11" s="7"/>
      <c r="E11" s="7"/>
      <c r="F11" s="7"/>
      <c r="G11" s="8"/>
    </row>
    <row r="12" customFormat="false" ht="15" hidden="false" customHeight="true" outlineLevel="0" collapsed="false">
      <c r="A12" s="7"/>
      <c r="B12" s="9" t="s">
        <v>21</v>
      </c>
      <c r="C12" s="7"/>
      <c r="D12" s="7"/>
      <c r="E12" s="7"/>
      <c r="F12" s="7"/>
      <c r="G12" s="10" t="n">
        <f aca="false">SUM(G6:G10)</f>
        <v>797454</v>
      </c>
    </row>
    <row r="13" customFormat="false" ht="15" hidden="false" customHeight="true" outlineLevel="0" collapsed="false">
      <c r="A13" s="7"/>
      <c r="B13" s="11" t="s">
        <v>22</v>
      </c>
      <c r="C13" s="7"/>
      <c r="D13" s="7"/>
      <c r="E13" s="7"/>
      <c r="F13" s="7"/>
      <c r="G13" s="12" t="n">
        <f aca="false">G12*0.15</f>
        <v>119618.1</v>
      </c>
    </row>
    <row r="14" customFormat="false" ht="17.25" hidden="false" customHeight="true" outlineLevel="0" collapsed="false">
      <c r="A14" s="7"/>
      <c r="B14" s="11" t="s">
        <v>23</v>
      </c>
      <c r="C14" s="7"/>
      <c r="D14" s="7"/>
      <c r="E14" s="7"/>
      <c r="F14" s="7"/>
      <c r="G14" s="12" t="n">
        <f aca="false">G12*0.05</f>
        <v>39872.7</v>
      </c>
    </row>
    <row r="15" customFormat="false" ht="17.25" hidden="false" customHeight="true" outlineLevel="0" collapsed="false">
      <c r="A15" s="7"/>
      <c r="B15" s="7"/>
      <c r="C15" s="7"/>
      <c r="D15" s="7"/>
      <c r="E15" s="7"/>
      <c r="F15" s="7"/>
      <c r="G15" s="8"/>
    </row>
    <row r="16" customFormat="false" ht="15" hidden="false" customHeight="true" outlineLevel="0" collapsed="false">
      <c r="A16" s="7"/>
      <c r="B16" s="2" t="s">
        <v>24</v>
      </c>
      <c r="C16" s="7"/>
      <c r="D16" s="7"/>
      <c r="E16" s="7"/>
      <c r="F16" s="7"/>
      <c r="G16" s="13" t="n">
        <f aca="false">G12+G13+G14</f>
        <v>956944.8</v>
      </c>
    </row>
    <row r="17" customFormat="false" ht="15" hidden="false" customHeight="true" outlineLevel="0" collapsed="false">
      <c r="A17" s="7"/>
      <c r="B17" s="14"/>
      <c r="C17" s="14"/>
      <c r="D17" s="14"/>
      <c r="E17" s="14"/>
      <c r="F17" s="14"/>
      <c r="G17" s="14"/>
    </row>
    <row r="18" customFormat="false" ht="15" hidden="false" customHeight="true" outlineLevel="0" collapsed="false">
      <c r="A18" s="15" t="s">
        <v>25</v>
      </c>
      <c r="B18" s="15"/>
      <c r="C18" s="15"/>
      <c r="D18" s="15"/>
      <c r="E18" s="15"/>
      <c r="F18" s="15"/>
      <c r="G18" s="15"/>
    </row>
    <row r="19" customFormat="false" ht="15" hidden="false" customHeight="true" outlineLevel="0" collapsed="false">
      <c r="A19" s="15" t="s">
        <v>26</v>
      </c>
      <c r="B19" s="15"/>
      <c r="C19" s="15"/>
      <c r="D19" s="15"/>
      <c r="E19" s="15"/>
      <c r="F19" s="15"/>
      <c r="G19" s="15"/>
    </row>
    <row r="20" customFormat="false" ht="15" hidden="false" customHeight="true" outlineLevel="0" collapsed="false">
      <c r="A20" s="15" t="s">
        <v>27</v>
      </c>
      <c r="B20" s="15"/>
      <c r="C20" s="15"/>
      <c r="D20" s="15"/>
      <c r="E20" s="15"/>
      <c r="F20" s="15"/>
      <c r="G20" s="15"/>
    </row>
    <row r="21" customFormat="false" ht="15" hidden="false" customHeight="true" outlineLevel="0" collapsed="false">
      <c r="A21" s="15" t="s">
        <v>28</v>
      </c>
      <c r="B21" s="15"/>
      <c r="C21" s="15"/>
      <c r="D21" s="15"/>
      <c r="E21" s="15"/>
      <c r="F21" s="15"/>
      <c r="G21" s="15"/>
    </row>
    <row r="22" customFormat="false" ht="15" hidden="false" customHeight="true" outlineLevel="0" collapsed="false">
      <c r="A22" s="15" t="s">
        <v>29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5" t="s">
        <v>30</v>
      </c>
      <c r="B23" s="15"/>
      <c r="C23" s="15"/>
      <c r="D23" s="15"/>
      <c r="E23" s="15"/>
      <c r="F23" s="15"/>
      <c r="G23" s="15"/>
    </row>
    <row r="24" customFormat="false" ht="15" hidden="false" customHeight="true" outlineLevel="0" collapsed="false">
      <c r="A24" s="15" t="s">
        <v>31</v>
      </c>
      <c r="B24" s="15"/>
      <c r="C24" s="15"/>
      <c r="D24" s="15"/>
      <c r="E24" s="15"/>
      <c r="F24" s="15"/>
      <c r="G24" s="15"/>
    </row>
    <row r="25" customFormat="false" ht="15" hidden="false" customHeight="true" outlineLevel="0" collapsed="false">
      <c r="A25" s="15" t="s">
        <v>32</v>
      </c>
      <c r="B25" s="15"/>
      <c r="C25" s="15"/>
      <c r="D25" s="15"/>
      <c r="E25" s="15"/>
      <c r="F25" s="15"/>
      <c r="G25" s="15"/>
    </row>
    <row r="26" customFormat="false" ht="15" hidden="false" customHeight="true" outlineLevel="0" collapsed="false">
      <c r="A26" s="15" t="s">
        <v>33</v>
      </c>
      <c r="B26" s="15"/>
      <c r="C26" s="15"/>
      <c r="D26" s="15"/>
      <c r="E26" s="15"/>
      <c r="F26" s="15"/>
      <c r="G26" s="15"/>
    </row>
    <row r="27" customFormat="false" ht="15" hidden="false" customHeight="true" outlineLevel="0" collapsed="false">
      <c r="A27" s="15" t="s">
        <v>34</v>
      </c>
      <c r="B27" s="15"/>
      <c r="C27" s="15"/>
      <c r="D27" s="15"/>
      <c r="E27" s="15"/>
      <c r="F27" s="15"/>
      <c r="G27" s="15"/>
    </row>
    <row r="28" customFormat="false" ht="15" hidden="false" customHeight="true" outlineLevel="0" collapsed="false">
      <c r="A28" s="15" t="s">
        <v>35</v>
      </c>
      <c r="B28" s="15"/>
      <c r="C28" s="15"/>
      <c r="D28" s="15"/>
      <c r="E28" s="15"/>
      <c r="F28" s="15"/>
      <c r="G28" s="15"/>
    </row>
    <row r="29" customFormat="false" ht="15" hidden="false" customHeight="true" outlineLevel="0" collapsed="false">
      <c r="A29" s="7"/>
      <c r="B29" s="7"/>
      <c r="C29" s="7"/>
      <c r="D29" s="7"/>
      <c r="E29" s="7"/>
      <c r="F29" s="7"/>
      <c r="G29" s="7"/>
    </row>
    <row r="30" customFormat="false" ht="15" hidden="false" customHeight="true" outlineLevel="0" collapsed="false">
      <c r="A30" s="7"/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4"/>
      <c r="G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</row>
  </sheetData>
  <mergeCells count="13">
    <mergeCell ref="A1:G1"/>
    <mergeCell ref="A3:G3"/>
    <mergeCell ref="A18:G18"/>
    <mergeCell ref="A19:G19"/>
    <mergeCell ref="A20:G20"/>
    <mergeCell ref="A21:G21"/>
    <mergeCell ref="A22:G22"/>
    <mergeCell ref="A23:G23"/>
    <mergeCell ref="A24:G24"/>
    <mergeCell ref="A25:G25"/>
    <mergeCell ref="A26:G26"/>
    <mergeCell ref="A27:G27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36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16" t="s">
        <v>37</v>
      </c>
      <c r="B2" s="16"/>
      <c r="C2" s="16"/>
      <c r="D2" s="16"/>
      <c r="E2" s="16"/>
      <c r="F2" s="16"/>
      <c r="G2" s="16"/>
    </row>
    <row r="3" customFormat="false" ht="15" hidden="false" customHeight="true" outlineLevel="0" collapsed="false">
      <c r="A3" s="17" t="s">
        <v>38</v>
      </c>
      <c r="B3" s="17"/>
      <c r="C3" s="17"/>
      <c r="D3" s="17"/>
      <c r="E3" s="17"/>
      <c r="F3" s="17"/>
      <c r="G3" s="17"/>
    </row>
    <row r="5" customFormat="false" ht="15" hidden="false" customHeight="true" outlineLevel="0" collapsed="false">
      <c r="A5" s="4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</v>
      </c>
      <c r="G5" s="4" t="s">
        <v>44</v>
      </c>
    </row>
    <row r="6" customFormat="false" ht="23.25" hidden="false" customHeight="true" outlineLevel="0" collapsed="false">
      <c r="A6" s="5" t="s">
        <v>45</v>
      </c>
      <c r="B6" s="5" t="s">
        <v>46</v>
      </c>
      <c r="C6" s="5" t="s">
        <v>47</v>
      </c>
      <c r="D6" s="5" t="s">
        <v>48</v>
      </c>
      <c r="E6" s="18" t="n">
        <v>495</v>
      </c>
      <c r="F6" s="18" t="n">
        <v>3</v>
      </c>
      <c r="G6" s="18" t="n">
        <f aca="false">E6*F6</f>
        <v>1485</v>
      </c>
    </row>
    <row r="7" customFormat="false" ht="23.25" hidden="false" customHeight="true" outlineLevel="0" collapsed="false">
      <c r="A7" s="5" t="s">
        <v>49</v>
      </c>
      <c r="B7" s="5" t="s">
        <v>50</v>
      </c>
      <c r="C7" s="5" t="s">
        <v>51</v>
      </c>
      <c r="D7" s="5" t="s">
        <v>52</v>
      </c>
      <c r="E7" s="18" t="n">
        <v>85</v>
      </c>
      <c r="F7" s="18" t="n">
        <v>3</v>
      </c>
      <c r="G7" s="18" t="n">
        <f aca="false">E7*F7</f>
        <v>255</v>
      </c>
    </row>
    <row r="8" customFormat="false" ht="23.25" hidden="false" customHeight="true" outlineLevel="0" collapsed="false">
      <c r="A8" s="5" t="s">
        <v>53</v>
      </c>
      <c r="B8" s="5" t="s">
        <v>54</v>
      </c>
      <c r="C8" s="5" t="s">
        <v>55</v>
      </c>
      <c r="D8" s="5" t="s">
        <v>56</v>
      </c>
      <c r="E8" s="18" t="n">
        <v>25</v>
      </c>
      <c r="F8" s="18" t="n">
        <v>3</v>
      </c>
      <c r="G8" s="18" t="n">
        <f aca="false">E8*F8</f>
        <v>75</v>
      </c>
    </row>
    <row r="9" customFormat="false" ht="15" hidden="false" customHeight="true" outlineLevel="0" collapsed="false">
      <c r="A9" s="5" t="s">
        <v>57</v>
      </c>
      <c r="B9" s="5" t="s">
        <v>58</v>
      </c>
      <c r="C9" s="5" t="s">
        <v>59</v>
      </c>
      <c r="D9" s="5" t="s">
        <v>60</v>
      </c>
      <c r="E9" s="18" t="n">
        <v>250</v>
      </c>
      <c r="F9" s="18" t="n">
        <v>1</v>
      </c>
      <c r="G9" s="18" t="n">
        <f aca="false">E9*F9</f>
        <v>250</v>
      </c>
    </row>
    <row r="10" customFormat="false" ht="15" hidden="false" customHeight="true" outlineLevel="0" collapsed="false">
      <c r="A10" s="5" t="s">
        <v>61</v>
      </c>
      <c r="B10" s="5" t="s">
        <v>62</v>
      </c>
      <c r="C10" s="5" t="s">
        <v>63</v>
      </c>
      <c r="D10" s="5" t="s">
        <v>64</v>
      </c>
      <c r="E10" s="18" t="n">
        <v>25</v>
      </c>
      <c r="F10" s="18" t="n">
        <v>1</v>
      </c>
      <c r="G10" s="18" t="n">
        <f aca="false">E10*F10</f>
        <v>25</v>
      </c>
    </row>
    <row r="11" customFormat="false" ht="23.25" hidden="false" customHeight="true" outlineLevel="0" collapsed="false">
      <c r="A11" s="5" t="s">
        <v>65</v>
      </c>
      <c r="B11" s="5" t="s">
        <v>66</v>
      </c>
      <c r="C11" s="5" t="s">
        <v>67</v>
      </c>
      <c r="D11" s="5" t="s">
        <v>68</v>
      </c>
      <c r="E11" s="18" t="n">
        <v>220</v>
      </c>
      <c r="F11" s="18" t="n">
        <v>1</v>
      </c>
      <c r="G11" s="18" t="n">
        <f aca="false">E11*F11</f>
        <v>220</v>
      </c>
    </row>
    <row r="12" customFormat="false" ht="23.25" hidden="false" customHeight="true" outlineLevel="0" collapsed="false">
      <c r="A12" s="5" t="s">
        <v>69</v>
      </c>
      <c r="B12" s="5" t="s">
        <v>70</v>
      </c>
      <c r="C12" s="5" t="s">
        <v>71</v>
      </c>
      <c r="D12" s="5" t="s">
        <v>72</v>
      </c>
      <c r="E12" s="18" t="n">
        <v>45</v>
      </c>
      <c r="F12" s="18" t="n">
        <v>1</v>
      </c>
      <c r="G12" s="18" t="n">
        <f aca="false">E12*F12</f>
        <v>45</v>
      </c>
    </row>
    <row r="13" customFormat="false" ht="23.25" hidden="false" customHeight="true" outlineLevel="0" collapsed="false">
      <c r="A13" s="5" t="s">
        <v>73</v>
      </c>
      <c r="B13" s="5" t="s">
        <v>74</v>
      </c>
      <c r="C13" s="5" t="s">
        <v>75</v>
      </c>
      <c r="D13" s="5" t="s">
        <v>76</v>
      </c>
      <c r="E13" s="18" t="n">
        <v>249</v>
      </c>
      <c r="F13" s="18" t="n">
        <v>1</v>
      </c>
      <c r="G13" s="18" t="n">
        <f aca="false">E13*F13</f>
        <v>249</v>
      </c>
    </row>
    <row r="14" customFormat="false" ht="23.25" hidden="false" customHeight="true" outlineLevel="0" collapsed="false">
      <c r="A14" s="5" t="s">
        <v>77</v>
      </c>
      <c r="B14" s="5" t="s">
        <v>78</v>
      </c>
      <c r="C14" s="5" t="s">
        <v>79</v>
      </c>
      <c r="D14" s="5" t="s">
        <v>80</v>
      </c>
      <c r="E14" s="18" t="n">
        <v>110</v>
      </c>
      <c r="F14" s="18" t="n">
        <v>1</v>
      </c>
      <c r="G14" s="18" t="n">
        <f aca="false">E14*F14</f>
        <v>110</v>
      </c>
    </row>
    <row r="15" customFormat="false" ht="23.25" hidden="false" customHeight="true" outlineLevel="0" collapsed="false">
      <c r="A15" s="5" t="s">
        <v>81</v>
      </c>
      <c r="B15" s="5" t="s">
        <v>82</v>
      </c>
      <c r="C15" s="5" t="s">
        <v>83</v>
      </c>
      <c r="D15" s="5" t="s">
        <v>84</v>
      </c>
      <c r="E15" s="18" t="n">
        <v>175</v>
      </c>
      <c r="F15" s="18" t="n">
        <v>1</v>
      </c>
      <c r="G15" s="18" t="n">
        <f aca="false">E15*F15</f>
        <v>175</v>
      </c>
    </row>
    <row r="16" customFormat="false" ht="23.25" hidden="false" customHeight="true" outlineLevel="0" collapsed="false">
      <c r="A16" s="5" t="s">
        <v>85</v>
      </c>
      <c r="B16" s="5" t="s">
        <v>86</v>
      </c>
      <c r="C16" s="5" t="s">
        <v>87</v>
      </c>
      <c r="D16" s="5" t="s">
        <v>88</v>
      </c>
      <c r="E16" s="18" t="n">
        <v>15</v>
      </c>
      <c r="F16" s="18" t="n">
        <v>2</v>
      </c>
      <c r="G16" s="18" t="n">
        <f aca="false">E16*F16</f>
        <v>30</v>
      </c>
    </row>
    <row r="17" customFormat="false" ht="15" hidden="false" customHeight="true" outlineLevel="0" collapsed="false">
      <c r="A17" s="5" t="s">
        <v>89</v>
      </c>
      <c r="B17" s="5" t="s">
        <v>90</v>
      </c>
      <c r="C17" s="5" t="s">
        <v>91</v>
      </c>
      <c r="D17" s="5" t="s">
        <v>92</v>
      </c>
      <c r="E17" s="18" t="n">
        <v>160</v>
      </c>
      <c r="F17" s="18" t="n">
        <v>1</v>
      </c>
      <c r="G17" s="18" t="n">
        <f aca="false">E17*F17</f>
        <v>160</v>
      </c>
    </row>
    <row r="18" customFormat="false" ht="23.25" hidden="false" customHeight="true" outlineLevel="0" collapsed="false">
      <c r="A18" s="5" t="s">
        <v>93</v>
      </c>
      <c r="B18" s="5" t="s">
        <v>94</v>
      </c>
      <c r="C18" s="5" t="s">
        <v>95</v>
      </c>
      <c r="D18" s="5" t="s">
        <v>96</v>
      </c>
      <c r="E18" s="18" t="n">
        <v>180</v>
      </c>
      <c r="F18" s="18" t="n">
        <v>1</v>
      </c>
      <c r="G18" s="18" t="n">
        <f aca="false">E18*F18</f>
        <v>180</v>
      </c>
    </row>
    <row r="19" customFormat="false" ht="23.25" hidden="false" customHeight="true" outlineLevel="0" collapsed="false">
      <c r="A19" s="5" t="s">
        <v>97</v>
      </c>
      <c r="B19" s="5" t="s">
        <v>98</v>
      </c>
      <c r="C19" s="5" t="s">
        <v>99</v>
      </c>
      <c r="D19" s="5" t="s">
        <v>100</v>
      </c>
      <c r="E19" s="18" t="n">
        <v>280</v>
      </c>
      <c r="F19" s="18" t="n">
        <v>1</v>
      </c>
      <c r="G19" s="18" t="n">
        <f aca="false">E19*F19</f>
        <v>280</v>
      </c>
    </row>
    <row r="20" customFormat="false" ht="23.25" hidden="false" customHeight="true" outlineLevel="0" collapsed="false">
      <c r="A20" s="5" t="s">
        <v>101</v>
      </c>
      <c r="B20" s="5" t="s">
        <v>102</v>
      </c>
      <c r="C20" s="5" t="s">
        <v>103</v>
      </c>
      <c r="D20" s="5" t="s">
        <v>72</v>
      </c>
      <c r="E20" s="18" t="n">
        <v>120</v>
      </c>
      <c r="F20" s="18" t="n">
        <v>1</v>
      </c>
      <c r="G20" s="18" t="n">
        <f aca="false">E20*F20</f>
        <v>120</v>
      </c>
    </row>
    <row r="21" customFormat="false" ht="23.25" hidden="false" customHeight="true" outlineLevel="0" collapsed="false">
      <c r="A21" s="5" t="s">
        <v>104</v>
      </c>
      <c r="B21" s="5" t="s">
        <v>105</v>
      </c>
      <c r="C21" s="5" t="s">
        <v>106</v>
      </c>
      <c r="D21" s="5" t="s">
        <v>107</v>
      </c>
      <c r="E21" s="18" t="n">
        <v>12</v>
      </c>
      <c r="F21" s="18" t="n">
        <v>3</v>
      </c>
      <c r="G21" s="18" t="n">
        <f aca="false">E21*F21</f>
        <v>36</v>
      </c>
    </row>
    <row r="22" customFormat="false" ht="23.25" hidden="false" customHeight="true" outlineLevel="0" collapsed="false">
      <c r="A22" s="5" t="s">
        <v>108</v>
      </c>
      <c r="B22" s="5" t="s">
        <v>109</v>
      </c>
      <c r="C22" s="5" t="s">
        <v>110</v>
      </c>
      <c r="D22" s="5" t="s">
        <v>56</v>
      </c>
      <c r="E22" s="18" t="n">
        <v>90</v>
      </c>
      <c r="F22" s="18" t="n">
        <v>1</v>
      </c>
      <c r="G22" s="18" t="n">
        <f aca="false">E22*F22</f>
        <v>90</v>
      </c>
    </row>
    <row r="23" customFormat="false" ht="15" hidden="false" customHeight="true" outlineLevel="0" collapsed="false">
      <c r="A23" s="5" t="s">
        <v>111</v>
      </c>
      <c r="B23" s="5" t="s">
        <v>112</v>
      </c>
      <c r="C23" s="5" t="s">
        <v>113</v>
      </c>
      <c r="D23" s="5" t="s">
        <v>114</v>
      </c>
      <c r="E23" s="18" t="n">
        <v>15</v>
      </c>
      <c r="F23" s="18" t="n">
        <v>2</v>
      </c>
      <c r="G23" s="18" t="n">
        <f aca="false">E23*F23</f>
        <v>30</v>
      </c>
    </row>
    <row r="24" customFormat="false" ht="15" hidden="false" customHeight="true" outlineLevel="0" collapsed="false">
      <c r="A24" s="5" t="s">
        <v>115</v>
      </c>
      <c r="B24" s="5" t="s">
        <v>116</v>
      </c>
      <c r="C24" s="5" t="s">
        <v>117</v>
      </c>
      <c r="D24" s="5" t="s">
        <v>72</v>
      </c>
      <c r="E24" s="18" t="n">
        <v>35</v>
      </c>
      <c r="F24" s="18" t="n">
        <v>1</v>
      </c>
      <c r="G24" s="18" t="n">
        <f aca="false">E24*F24</f>
        <v>35</v>
      </c>
    </row>
    <row r="25" customFormat="false" ht="15" hidden="false" customHeight="true" outlineLevel="0" collapsed="false">
      <c r="A25" s="5" t="s">
        <v>118</v>
      </c>
      <c r="B25" s="5" t="s">
        <v>119</v>
      </c>
      <c r="C25" s="5" t="s">
        <v>79</v>
      </c>
      <c r="D25" s="5" t="s">
        <v>120</v>
      </c>
      <c r="E25" s="18" t="n">
        <v>14</v>
      </c>
      <c r="F25" s="18" t="n">
        <v>1</v>
      </c>
      <c r="G25" s="18" t="n">
        <f aca="false">E25*F25</f>
        <v>14</v>
      </c>
    </row>
    <row r="26" customFormat="false" ht="15" hidden="false" customHeight="true" outlineLevel="0" collapsed="false">
      <c r="A26" s="19" t="s">
        <v>121</v>
      </c>
      <c r="B26" s="20"/>
      <c r="C26" s="20"/>
      <c r="D26" s="20"/>
      <c r="E26" s="20"/>
      <c r="F26" s="20"/>
      <c r="G26" s="21" t="n">
        <f aca="false">SUM(G6:G25)</f>
        <v>3864</v>
      </c>
    </row>
    <row r="27" customFormat="false" ht="15" hidden="false" customHeight="true" outlineLevel="0" collapsed="false">
      <c r="A27" s="22"/>
      <c r="B27" s="23" t="s">
        <v>122</v>
      </c>
      <c r="C27" s="22"/>
      <c r="D27" s="22"/>
      <c r="E27" s="22"/>
      <c r="F27" s="22"/>
      <c r="G27" s="24" t="n">
        <f aca="false">G26*17</f>
        <v>65688</v>
      </c>
    </row>
    <row r="28" customFormat="false" ht="15" hidden="false" customHeight="true" outlineLevel="0" collapsed="false">
      <c r="A28" s="22"/>
      <c r="B28" s="22"/>
      <c r="C28" s="22"/>
      <c r="D28" s="22"/>
      <c r="E28" s="22"/>
      <c r="F28" s="22"/>
      <c r="G28" s="22"/>
    </row>
    <row r="29" customFormat="false" ht="15" hidden="false" customHeight="true" outlineLevel="0" collapsed="false">
      <c r="A29" s="22"/>
      <c r="B29" s="22"/>
      <c r="C29" s="22"/>
      <c r="D29" s="22"/>
      <c r="E29" s="22"/>
      <c r="F29" s="22"/>
      <c r="G29" s="22"/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  <c r="G30" s="22"/>
    </row>
    <row r="31" customFormat="false" ht="15" hidden="false" customHeight="true" outlineLevel="0" collapsed="false">
      <c r="A31" s="22"/>
      <c r="B31" s="22"/>
      <c r="C31" s="22"/>
      <c r="D31" s="22"/>
      <c r="E31" s="22"/>
      <c r="F31" s="22"/>
      <c r="G31" s="22"/>
    </row>
    <row r="32" customFormat="false" ht="15" hidden="false" customHeight="true" outlineLevel="0" collapsed="false">
      <c r="A32" s="22"/>
      <c r="B32" s="22"/>
      <c r="C32" s="22"/>
      <c r="D32" s="22"/>
      <c r="E32" s="22"/>
      <c r="F32" s="22"/>
      <c r="G32" s="22"/>
    </row>
    <row r="33" customFormat="false" ht="15" hidden="false" customHeight="true" outlineLevel="0" collapsed="false">
      <c r="A33" s="22"/>
      <c r="B33" s="22"/>
      <c r="C33" s="22"/>
      <c r="D33" s="22"/>
      <c r="E33" s="22"/>
      <c r="F33" s="22"/>
      <c r="G33" s="22"/>
    </row>
    <row r="34" customFormat="false" ht="15" hidden="false" customHeight="true" outlineLevel="0" collapsed="false">
      <c r="A34" s="22"/>
      <c r="B34" s="22"/>
      <c r="C34" s="22"/>
      <c r="D34" s="22"/>
      <c r="E34" s="22"/>
      <c r="F34" s="22"/>
      <c r="G34" s="22"/>
    </row>
  </sheetData>
  <mergeCells count="3">
    <mergeCell ref="A1:G1"/>
    <mergeCell ref="A2:G2"/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4"/>
  </cols>
  <sheetData>
    <row r="1" customFormat="false" ht="15" hidden="false" customHeight="true" outlineLevel="0" collapsed="false">
      <c r="A1" s="25" t="s">
        <v>123</v>
      </c>
      <c r="B1" s="25"/>
      <c r="C1" s="25"/>
      <c r="D1" s="25"/>
      <c r="E1" s="25"/>
      <c r="F1" s="25"/>
      <c r="G1" s="25"/>
    </row>
    <row r="2" customFormat="false" ht="15" hidden="false" customHeight="true" outlineLevel="0" collapsed="false">
      <c r="A2" s="16" t="s">
        <v>124</v>
      </c>
      <c r="B2" s="16"/>
      <c r="C2" s="16"/>
      <c r="D2" s="16"/>
      <c r="E2" s="16"/>
      <c r="F2" s="16"/>
      <c r="G2" s="16"/>
    </row>
    <row r="4" customFormat="false" ht="15" hidden="false" customHeight="true" outlineLevel="0" collapsed="false">
      <c r="A4" s="4" t="s">
        <v>39</v>
      </c>
      <c r="B4" s="4" t="s">
        <v>40</v>
      </c>
      <c r="C4" s="4" t="s">
        <v>41</v>
      </c>
      <c r="D4" s="4" t="s">
        <v>42</v>
      </c>
      <c r="E4" s="4" t="s">
        <v>43</v>
      </c>
      <c r="F4" s="4" t="s">
        <v>4</v>
      </c>
      <c r="G4" s="4" t="s">
        <v>44</v>
      </c>
    </row>
    <row r="5" customFormat="false" ht="23.25" hidden="false" customHeight="true" outlineLevel="0" collapsed="false">
      <c r="A5" s="5" t="s">
        <v>45</v>
      </c>
      <c r="B5" s="5" t="s">
        <v>125</v>
      </c>
      <c r="C5" s="5" t="s">
        <v>47</v>
      </c>
      <c r="D5" s="5" t="s">
        <v>48</v>
      </c>
      <c r="E5" s="18" t="n">
        <v>495</v>
      </c>
      <c r="F5" s="18" t="n">
        <v>3</v>
      </c>
      <c r="G5" s="18" t="n">
        <f aca="false">E5*F5</f>
        <v>1485</v>
      </c>
    </row>
    <row r="6" customFormat="false" ht="23.25" hidden="false" customHeight="true" outlineLevel="0" collapsed="false">
      <c r="A6" s="5" t="s">
        <v>49</v>
      </c>
      <c r="B6" s="5" t="s">
        <v>126</v>
      </c>
      <c r="C6" s="5" t="s">
        <v>51</v>
      </c>
      <c r="D6" s="5" t="s">
        <v>52</v>
      </c>
      <c r="E6" s="18" t="n">
        <v>85</v>
      </c>
      <c r="F6" s="18" t="n">
        <v>3</v>
      </c>
      <c r="G6" s="18" t="n">
        <f aca="false">E6*F6</f>
        <v>255</v>
      </c>
    </row>
    <row r="7" customFormat="false" ht="23.25" hidden="false" customHeight="true" outlineLevel="0" collapsed="false">
      <c r="A7" s="5" t="s">
        <v>53</v>
      </c>
      <c r="B7" s="5" t="s">
        <v>127</v>
      </c>
      <c r="C7" s="5" t="s">
        <v>55</v>
      </c>
      <c r="D7" s="5" t="s">
        <v>56</v>
      </c>
      <c r="E7" s="18" t="n">
        <v>25</v>
      </c>
      <c r="F7" s="18" t="n">
        <v>3</v>
      </c>
      <c r="G7" s="18" t="n">
        <f aca="false">E7*F7</f>
        <v>75</v>
      </c>
    </row>
    <row r="8" customFormat="false" ht="23.25" hidden="false" customHeight="true" outlineLevel="0" collapsed="false">
      <c r="A8" s="5" t="s">
        <v>57</v>
      </c>
      <c r="B8" s="5" t="s">
        <v>128</v>
      </c>
      <c r="C8" s="5" t="s">
        <v>59</v>
      </c>
      <c r="D8" s="5" t="s">
        <v>60</v>
      </c>
      <c r="E8" s="18" t="n">
        <v>250</v>
      </c>
      <c r="F8" s="18" t="n">
        <v>1</v>
      </c>
      <c r="G8" s="18" t="n">
        <f aca="false">E8*F8</f>
        <v>250</v>
      </c>
    </row>
    <row r="9" customFormat="false" ht="23.25" hidden="false" customHeight="true" outlineLevel="0" collapsed="false">
      <c r="A9" s="5" t="s">
        <v>61</v>
      </c>
      <c r="B9" s="5" t="s">
        <v>129</v>
      </c>
      <c r="C9" s="5" t="s">
        <v>63</v>
      </c>
      <c r="D9" s="5" t="s">
        <v>64</v>
      </c>
      <c r="E9" s="18" t="n">
        <v>30</v>
      </c>
      <c r="F9" s="18" t="n">
        <v>1</v>
      </c>
      <c r="G9" s="18" t="n">
        <f aca="false">E9*F9</f>
        <v>30</v>
      </c>
    </row>
    <row r="10" customFormat="false" ht="23.25" hidden="false" customHeight="true" outlineLevel="0" collapsed="false">
      <c r="A10" s="5" t="s">
        <v>65</v>
      </c>
      <c r="B10" s="5" t="s">
        <v>130</v>
      </c>
      <c r="C10" s="5" t="s">
        <v>67</v>
      </c>
      <c r="D10" s="5" t="s">
        <v>68</v>
      </c>
      <c r="E10" s="18" t="n">
        <v>220</v>
      </c>
      <c r="F10" s="18" t="n">
        <v>1</v>
      </c>
      <c r="G10" s="18" t="n">
        <f aca="false">E10*F10</f>
        <v>220</v>
      </c>
    </row>
    <row r="11" customFormat="false" ht="23.25" hidden="false" customHeight="true" outlineLevel="0" collapsed="false">
      <c r="A11" s="5" t="s">
        <v>69</v>
      </c>
      <c r="B11" s="5" t="s">
        <v>131</v>
      </c>
      <c r="C11" s="5" t="s">
        <v>71</v>
      </c>
      <c r="D11" s="5" t="s">
        <v>72</v>
      </c>
      <c r="E11" s="18" t="n">
        <v>45</v>
      </c>
      <c r="F11" s="18" t="n">
        <v>1</v>
      </c>
      <c r="G11" s="18" t="n">
        <f aca="false">E11*F11</f>
        <v>45</v>
      </c>
    </row>
    <row r="12" customFormat="false" ht="15" hidden="false" customHeight="true" outlineLevel="0" collapsed="false">
      <c r="A12" s="5" t="s">
        <v>73</v>
      </c>
      <c r="B12" s="5" t="s">
        <v>132</v>
      </c>
      <c r="C12" s="5" t="s">
        <v>47</v>
      </c>
      <c r="D12" s="5" t="s">
        <v>133</v>
      </c>
      <c r="E12" s="18" t="n">
        <v>5495</v>
      </c>
      <c r="F12" s="18" t="n">
        <v>1</v>
      </c>
      <c r="G12" s="18" t="n">
        <f aca="false">E12*F12</f>
        <v>5495</v>
      </c>
    </row>
    <row r="13" customFormat="false" ht="23.25" hidden="false" customHeight="true" outlineLevel="0" collapsed="false">
      <c r="A13" s="5" t="s">
        <v>77</v>
      </c>
      <c r="B13" s="5" t="s">
        <v>134</v>
      </c>
      <c r="C13" s="5" t="s">
        <v>47</v>
      </c>
      <c r="D13" s="5" t="s">
        <v>135</v>
      </c>
      <c r="E13" s="18" t="n">
        <v>2150</v>
      </c>
      <c r="F13" s="18" t="n">
        <v>2</v>
      </c>
      <c r="G13" s="18" t="n">
        <f aca="false">E13*F13</f>
        <v>4300</v>
      </c>
    </row>
    <row r="14" customFormat="false" ht="15" hidden="false" customHeight="true" outlineLevel="0" collapsed="false">
      <c r="A14" s="5" t="s">
        <v>136</v>
      </c>
      <c r="B14" s="5" t="s">
        <v>137</v>
      </c>
      <c r="C14" s="5" t="s">
        <v>63</v>
      </c>
      <c r="D14" s="5" t="s">
        <v>64</v>
      </c>
      <c r="E14" s="18" t="n">
        <v>650</v>
      </c>
      <c r="F14" s="18" t="n">
        <v>1</v>
      </c>
      <c r="G14" s="18" t="n">
        <f aca="false">E14*F14</f>
        <v>650</v>
      </c>
    </row>
    <row r="15" customFormat="false" ht="15" hidden="false" customHeight="true" outlineLevel="0" collapsed="false">
      <c r="A15" s="5" t="s">
        <v>138</v>
      </c>
      <c r="B15" s="5" t="s">
        <v>139</v>
      </c>
      <c r="C15" s="5" t="s">
        <v>63</v>
      </c>
      <c r="D15" s="5" t="s">
        <v>64</v>
      </c>
      <c r="E15" s="18" t="n">
        <v>750</v>
      </c>
      <c r="F15" s="18" t="n">
        <v>1</v>
      </c>
      <c r="G15" s="18" t="n">
        <f aca="false">E15*F15</f>
        <v>750</v>
      </c>
    </row>
    <row r="16" customFormat="false" ht="15" hidden="false" customHeight="true" outlineLevel="0" collapsed="false">
      <c r="A16" s="5" t="s">
        <v>140</v>
      </c>
      <c r="B16" s="5" t="s">
        <v>141</v>
      </c>
      <c r="C16" s="5" t="s">
        <v>142</v>
      </c>
      <c r="D16" s="5" t="s">
        <v>143</v>
      </c>
      <c r="E16" s="18" t="n">
        <v>800</v>
      </c>
      <c r="F16" s="18" t="n">
        <v>1</v>
      </c>
      <c r="G16" s="18" t="n">
        <f aca="false">E16*F16</f>
        <v>800</v>
      </c>
    </row>
    <row r="17" customFormat="false" ht="23.25" hidden="false" customHeight="true" outlineLevel="0" collapsed="false">
      <c r="A17" s="5" t="s">
        <v>81</v>
      </c>
      <c r="B17" s="5" t="s">
        <v>144</v>
      </c>
      <c r="C17" s="5" t="s">
        <v>145</v>
      </c>
      <c r="D17" s="5" t="s">
        <v>146</v>
      </c>
      <c r="E17" s="18" t="n">
        <v>95</v>
      </c>
      <c r="F17" s="18" t="n">
        <v>2</v>
      </c>
      <c r="G17" s="18" t="n">
        <f aca="false">E17*F17</f>
        <v>190</v>
      </c>
    </row>
    <row r="18" customFormat="false" ht="23.25" hidden="false" customHeight="true" outlineLevel="0" collapsed="false">
      <c r="A18" s="5" t="s">
        <v>85</v>
      </c>
      <c r="B18" s="5" t="s">
        <v>147</v>
      </c>
      <c r="C18" s="5" t="s">
        <v>145</v>
      </c>
      <c r="D18" s="5" t="s">
        <v>146</v>
      </c>
      <c r="E18" s="18" t="n">
        <v>110</v>
      </c>
      <c r="F18" s="18" t="n">
        <v>2</v>
      </c>
      <c r="G18" s="18" t="n">
        <f aca="false">E18*F18</f>
        <v>220</v>
      </c>
    </row>
    <row r="19" customFormat="false" ht="23.25" hidden="false" customHeight="true" outlineLevel="0" collapsed="false">
      <c r="A19" s="5" t="s">
        <v>148</v>
      </c>
      <c r="B19" s="5" t="s">
        <v>149</v>
      </c>
      <c r="C19" s="5" t="s">
        <v>150</v>
      </c>
      <c r="D19" s="5" t="s">
        <v>151</v>
      </c>
      <c r="E19" s="18" t="n">
        <v>45</v>
      </c>
      <c r="F19" s="18" t="n">
        <v>1</v>
      </c>
      <c r="G19" s="18" t="n">
        <f aca="false">E19*F19</f>
        <v>45</v>
      </c>
    </row>
    <row r="20" customFormat="false" ht="23.25" hidden="false" customHeight="true" outlineLevel="0" collapsed="false">
      <c r="A20" s="5" t="s">
        <v>152</v>
      </c>
      <c r="B20" s="5" t="s">
        <v>153</v>
      </c>
      <c r="C20" s="5" t="s">
        <v>145</v>
      </c>
      <c r="D20" s="5" t="s">
        <v>146</v>
      </c>
      <c r="E20" s="18" t="n">
        <v>65</v>
      </c>
      <c r="F20" s="18" t="n">
        <v>1</v>
      </c>
      <c r="G20" s="18" t="n">
        <f aca="false">E20*F20</f>
        <v>65</v>
      </c>
    </row>
    <row r="21" customFormat="false" ht="15" hidden="false" customHeight="true" outlineLevel="0" collapsed="false">
      <c r="A21" s="5" t="s">
        <v>89</v>
      </c>
      <c r="B21" s="5" t="s">
        <v>154</v>
      </c>
      <c r="C21" s="5" t="s">
        <v>155</v>
      </c>
      <c r="D21" s="5" t="s">
        <v>156</v>
      </c>
      <c r="E21" s="18" t="n">
        <v>699</v>
      </c>
      <c r="F21" s="18" t="n">
        <v>1</v>
      </c>
      <c r="G21" s="18" t="n">
        <f aca="false">E21*F21</f>
        <v>699</v>
      </c>
    </row>
    <row r="22" customFormat="false" ht="23.25" hidden="false" customHeight="true" outlineLevel="0" collapsed="false">
      <c r="A22" s="5" t="s">
        <v>93</v>
      </c>
      <c r="B22" s="5" t="s">
        <v>157</v>
      </c>
      <c r="C22" s="5" t="s">
        <v>158</v>
      </c>
      <c r="D22" s="5" t="s">
        <v>159</v>
      </c>
      <c r="E22" s="18" t="n">
        <v>149</v>
      </c>
      <c r="F22" s="18" t="n">
        <v>1</v>
      </c>
      <c r="G22" s="18" t="n">
        <f aca="false">E22*F22</f>
        <v>149</v>
      </c>
    </row>
    <row r="23" customFormat="false" ht="23.25" hidden="false" customHeight="true" outlineLevel="0" collapsed="false">
      <c r="A23" s="5" t="s">
        <v>97</v>
      </c>
      <c r="B23" s="5" t="s">
        <v>160</v>
      </c>
      <c r="C23" s="5" t="s">
        <v>79</v>
      </c>
      <c r="D23" s="5" t="s">
        <v>80</v>
      </c>
      <c r="E23" s="18" t="n">
        <v>150</v>
      </c>
      <c r="F23" s="18" t="n">
        <v>1</v>
      </c>
      <c r="G23" s="18" t="n">
        <f aca="false">E23*F23</f>
        <v>150</v>
      </c>
    </row>
    <row r="24" customFormat="false" ht="23.25" hidden="false" customHeight="true" outlineLevel="0" collapsed="false">
      <c r="A24" s="5" t="s">
        <v>108</v>
      </c>
      <c r="B24" s="5" t="s">
        <v>82</v>
      </c>
      <c r="C24" s="5" t="s">
        <v>83</v>
      </c>
      <c r="D24" s="5" t="s">
        <v>84</v>
      </c>
      <c r="E24" s="18" t="n">
        <v>175</v>
      </c>
      <c r="F24" s="18" t="n">
        <v>1</v>
      </c>
      <c r="G24" s="18" t="n">
        <f aca="false">E24*F24</f>
        <v>175</v>
      </c>
    </row>
    <row r="25" customFormat="false" ht="23.25" hidden="false" customHeight="true" outlineLevel="0" collapsed="false">
      <c r="A25" s="5" t="s">
        <v>111</v>
      </c>
      <c r="B25" s="5" t="s">
        <v>161</v>
      </c>
      <c r="C25" s="5" t="s">
        <v>162</v>
      </c>
      <c r="D25" s="5" t="s">
        <v>72</v>
      </c>
      <c r="E25" s="18" t="n">
        <v>85</v>
      </c>
      <c r="F25" s="18" t="n">
        <v>1</v>
      </c>
      <c r="G25" s="18" t="n">
        <f aca="false">E25*F25</f>
        <v>85</v>
      </c>
    </row>
    <row r="26" customFormat="false" ht="15" hidden="false" customHeight="true" outlineLevel="0" collapsed="false">
      <c r="A26" s="5" t="s">
        <v>163</v>
      </c>
      <c r="B26" s="5" t="s">
        <v>164</v>
      </c>
      <c r="C26" s="5" t="s">
        <v>165</v>
      </c>
      <c r="D26" s="5" t="s">
        <v>166</v>
      </c>
      <c r="E26" s="18" t="n">
        <v>350</v>
      </c>
      <c r="F26" s="18" t="n">
        <v>1</v>
      </c>
      <c r="G26" s="18" t="n">
        <f aca="false">E26*F26</f>
        <v>350</v>
      </c>
    </row>
    <row r="27" customFormat="false" ht="15" hidden="false" customHeight="true" outlineLevel="0" collapsed="false">
      <c r="A27" s="5" t="s">
        <v>167</v>
      </c>
      <c r="B27" s="5" t="s">
        <v>168</v>
      </c>
      <c r="C27" s="5" t="s">
        <v>169</v>
      </c>
      <c r="D27" s="5" t="s">
        <v>170</v>
      </c>
      <c r="E27" s="18" t="n">
        <v>130</v>
      </c>
      <c r="F27" s="18" t="n">
        <v>1</v>
      </c>
      <c r="G27" s="18" t="n">
        <f aca="false">E27*F27</f>
        <v>130</v>
      </c>
    </row>
    <row r="28" customFormat="false" ht="15" hidden="false" customHeight="true" outlineLevel="0" collapsed="false">
      <c r="A28" s="5" t="s">
        <v>171</v>
      </c>
      <c r="B28" s="5" t="s">
        <v>172</v>
      </c>
      <c r="C28" s="5" t="s">
        <v>173</v>
      </c>
      <c r="D28" s="5" t="s">
        <v>72</v>
      </c>
      <c r="E28" s="18" t="n">
        <v>120</v>
      </c>
      <c r="F28" s="18" t="n">
        <v>1</v>
      </c>
      <c r="G28" s="18" t="n">
        <f aca="false">E28*F28</f>
        <v>120</v>
      </c>
    </row>
    <row r="29" customFormat="false" ht="23.25" hidden="false" customHeight="true" outlineLevel="0" collapsed="false">
      <c r="A29" s="5" t="s">
        <v>174</v>
      </c>
      <c r="B29" s="5" t="s">
        <v>175</v>
      </c>
      <c r="C29" s="5" t="s">
        <v>110</v>
      </c>
      <c r="D29" s="5" t="s">
        <v>56</v>
      </c>
      <c r="E29" s="18" t="n">
        <v>160</v>
      </c>
      <c r="F29" s="18" t="n">
        <v>1</v>
      </c>
      <c r="G29" s="18" t="n">
        <f aca="false">E29*F29</f>
        <v>160</v>
      </c>
    </row>
    <row r="30" customFormat="false" ht="23.25" hidden="false" customHeight="true" outlineLevel="0" collapsed="false">
      <c r="A30" s="5" t="s">
        <v>176</v>
      </c>
      <c r="B30" s="5" t="s">
        <v>177</v>
      </c>
      <c r="C30" s="5" t="s">
        <v>113</v>
      </c>
      <c r="D30" s="5" t="s">
        <v>114</v>
      </c>
      <c r="E30" s="18" t="n">
        <v>25</v>
      </c>
      <c r="F30" s="18" t="n">
        <v>2</v>
      </c>
      <c r="G30" s="18" t="n">
        <f aca="false">E30*F30</f>
        <v>50</v>
      </c>
    </row>
    <row r="31" customFormat="false" ht="23.25" hidden="false" customHeight="true" outlineLevel="0" collapsed="false">
      <c r="A31" s="5" t="s">
        <v>178</v>
      </c>
      <c r="B31" s="5" t="s">
        <v>179</v>
      </c>
      <c r="C31" s="5" t="s">
        <v>55</v>
      </c>
      <c r="D31" s="5" t="s">
        <v>56</v>
      </c>
      <c r="E31" s="18" t="n">
        <v>30</v>
      </c>
      <c r="F31" s="18" t="n">
        <v>4</v>
      </c>
      <c r="G31" s="18" t="n">
        <f aca="false">E31*F31</f>
        <v>120</v>
      </c>
    </row>
    <row r="32" customFormat="false" ht="23.25" hidden="false" customHeight="true" outlineLevel="0" collapsed="false">
      <c r="A32" s="5" t="s">
        <v>180</v>
      </c>
      <c r="B32" s="5" t="s">
        <v>181</v>
      </c>
      <c r="C32" s="5" t="s">
        <v>117</v>
      </c>
      <c r="D32" s="5" t="s">
        <v>72</v>
      </c>
      <c r="E32" s="18" t="n">
        <v>85</v>
      </c>
      <c r="F32" s="18" t="n">
        <v>1</v>
      </c>
      <c r="G32" s="18" t="n">
        <f aca="false">E32*F32</f>
        <v>85</v>
      </c>
    </row>
    <row r="33" customFormat="false" ht="15" hidden="false" customHeight="true" outlineLevel="0" collapsed="false">
      <c r="A33" s="19" t="s">
        <v>182</v>
      </c>
      <c r="B33" s="20"/>
      <c r="C33" s="20"/>
      <c r="D33" s="20"/>
      <c r="E33" s="20"/>
      <c r="F33" s="20"/>
      <c r="G33" s="21" t="n">
        <f aca="false">SUM(G5:G32)</f>
        <v>17148</v>
      </c>
    </row>
    <row r="34" customFormat="false" ht="15" hidden="false" customHeight="true" outlineLevel="0" collapsed="false">
      <c r="A34" s="22"/>
      <c r="B34" s="23" t="s">
        <v>183</v>
      </c>
      <c r="C34" s="22"/>
      <c r="D34" s="22"/>
      <c r="E34" s="22"/>
      <c r="F34" s="22"/>
      <c r="G34" s="26" t="n">
        <f aca="false">G33*5</f>
        <v>85740</v>
      </c>
    </row>
    <row r="35" customFormat="false" ht="15" hidden="false" customHeight="true" outlineLevel="0" collapsed="false">
      <c r="A35" s="22"/>
      <c r="B35" s="22"/>
      <c r="C35" s="22"/>
      <c r="D35" s="22"/>
      <c r="E35" s="22"/>
      <c r="F35" s="22"/>
      <c r="G35" s="22"/>
    </row>
    <row r="36" customFormat="false" ht="15" hidden="false" customHeight="true" outlineLevel="0" collapsed="false">
      <c r="A36" s="22"/>
      <c r="B36" s="22"/>
      <c r="C36" s="22"/>
      <c r="D36" s="22"/>
      <c r="E36" s="22"/>
      <c r="F36" s="22"/>
      <c r="G36" s="22"/>
    </row>
    <row r="37" customFormat="false" ht="15" hidden="false" customHeight="true" outlineLevel="0" collapsed="false">
      <c r="A37" s="22"/>
      <c r="B37" s="22"/>
      <c r="C37" s="22"/>
      <c r="D37" s="22"/>
      <c r="E37" s="22"/>
      <c r="F37" s="22"/>
      <c r="G37" s="22"/>
    </row>
    <row r="38" customFormat="false" ht="15" hidden="false" customHeight="true" outlineLevel="0" collapsed="false">
      <c r="A38" s="22"/>
      <c r="B38" s="22"/>
      <c r="C38" s="22"/>
      <c r="D38" s="22"/>
      <c r="E38" s="22"/>
      <c r="F38" s="22"/>
      <c r="G38" s="22"/>
    </row>
    <row r="39" customFormat="false" ht="15" hidden="false" customHeight="true" outlineLevel="0" collapsed="false">
      <c r="A39" s="22"/>
      <c r="B39" s="22"/>
      <c r="C39" s="22"/>
      <c r="D39" s="22"/>
      <c r="E39" s="22"/>
      <c r="F39" s="22"/>
      <c r="G39" s="22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4"/>
  </cols>
  <sheetData>
    <row r="1" customFormat="false" ht="15" hidden="false" customHeight="true" outlineLevel="0" collapsed="false">
      <c r="A1" s="27" t="s">
        <v>184</v>
      </c>
      <c r="B1" s="27"/>
      <c r="C1" s="27"/>
      <c r="D1" s="27"/>
      <c r="E1" s="27"/>
      <c r="F1" s="27"/>
      <c r="G1" s="27"/>
    </row>
    <row r="2" customFormat="false" ht="15" hidden="false" customHeight="true" outlineLevel="0" collapsed="false">
      <c r="A2" s="16" t="s">
        <v>185</v>
      </c>
      <c r="B2" s="16"/>
      <c r="C2" s="16"/>
      <c r="D2" s="16"/>
      <c r="E2" s="16"/>
      <c r="F2" s="16"/>
      <c r="G2" s="16"/>
    </row>
    <row r="4" customFormat="false" ht="15" hidden="false" customHeight="true" outlineLevel="0" collapsed="false">
      <c r="A4" s="4" t="s">
        <v>39</v>
      </c>
      <c r="B4" s="4" t="s">
        <v>40</v>
      </c>
      <c r="C4" s="4" t="s">
        <v>41</v>
      </c>
      <c r="D4" s="4" t="s">
        <v>42</v>
      </c>
      <c r="E4" s="4" t="s">
        <v>43</v>
      </c>
      <c r="F4" s="4" t="s">
        <v>4</v>
      </c>
      <c r="G4" s="4" t="s">
        <v>44</v>
      </c>
    </row>
    <row r="5" customFormat="false" ht="34.5" hidden="false" customHeight="true" outlineLevel="0" collapsed="false">
      <c r="A5" s="5" t="s">
        <v>45</v>
      </c>
      <c r="B5" s="5" t="s">
        <v>186</v>
      </c>
      <c r="C5" s="5" t="s">
        <v>187</v>
      </c>
      <c r="D5" s="5" t="s">
        <v>188</v>
      </c>
      <c r="E5" s="18" t="n">
        <v>4800</v>
      </c>
      <c r="F5" s="18" t="n">
        <v>1</v>
      </c>
      <c r="G5" s="18" t="n">
        <f aca="false">E5*F5</f>
        <v>4800</v>
      </c>
    </row>
    <row r="6" customFormat="false" ht="15" hidden="false" customHeight="true" outlineLevel="0" collapsed="false">
      <c r="A6" s="5" t="s">
        <v>49</v>
      </c>
      <c r="B6" s="5" t="s">
        <v>189</v>
      </c>
      <c r="C6" s="5" t="s">
        <v>190</v>
      </c>
      <c r="D6" s="5" t="s">
        <v>191</v>
      </c>
      <c r="E6" s="18" t="n">
        <v>650</v>
      </c>
      <c r="F6" s="18" t="n">
        <v>1</v>
      </c>
      <c r="G6" s="18" t="n">
        <f aca="false">E6*F6</f>
        <v>650</v>
      </c>
    </row>
    <row r="7" customFormat="false" ht="15" hidden="false" customHeight="true" outlineLevel="0" collapsed="false">
      <c r="A7" s="5" t="s">
        <v>53</v>
      </c>
      <c r="B7" s="5" t="s">
        <v>192</v>
      </c>
      <c r="C7" s="5" t="s">
        <v>187</v>
      </c>
      <c r="D7" s="5" t="s">
        <v>193</v>
      </c>
      <c r="E7" s="18" t="n">
        <v>250</v>
      </c>
      <c r="F7" s="18" t="n">
        <v>1</v>
      </c>
      <c r="G7" s="18" t="n">
        <f aca="false">E7*F7</f>
        <v>250</v>
      </c>
    </row>
    <row r="8" customFormat="false" ht="15" hidden="false" customHeight="true" outlineLevel="0" collapsed="false">
      <c r="A8" s="5" t="s">
        <v>57</v>
      </c>
      <c r="B8" s="5" t="s">
        <v>194</v>
      </c>
      <c r="C8" s="5" t="s">
        <v>195</v>
      </c>
      <c r="D8" s="5" t="s">
        <v>196</v>
      </c>
      <c r="E8" s="18" t="n">
        <v>650</v>
      </c>
      <c r="F8" s="18" t="n">
        <v>1</v>
      </c>
      <c r="G8" s="18" t="n">
        <f aca="false">E8*F8</f>
        <v>650</v>
      </c>
    </row>
    <row r="9" customFormat="false" ht="23.25" hidden="false" customHeight="true" outlineLevel="0" collapsed="false">
      <c r="A9" s="5" t="s">
        <v>73</v>
      </c>
      <c r="B9" s="5" t="s">
        <v>197</v>
      </c>
      <c r="C9" s="5" t="s">
        <v>198</v>
      </c>
      <c r="D9" s="5" t="s">
        <v>72</v>
      </c>
      <c r="E9" s="18" t="n">
        <v>400</v>
      </c>
      <c r="F9" s="18" t="n">
        <v>1</v>
      </c>
      <c r="G9" s="18" t="n">
        <f aca="false">E9*F9</f>
        <v>400</v>
      </c>
    </row>
    <row r="10" customFormat="false" ht="23.25" hidden="false" customHeight="true" outlineLevel="0" collapsed="false">
      <c r="A10" s="5" t="s">
        <v>77</v>
      </c>
      <c r="B10" s="5" t="s">
        <v>199</v>
      </c>
      <c r="C10" s="5" t="s">
        <v>83</v>
      </c>
      <c r="D10" s="5" t="s">
        <v>84</v>
      </c>
      <c r="E10" s="18" t="n">
        <v>175</v>
      </c>
      <c r="F10" s="18" t="n">
        <v>2</v>
      </c>
      <c r="G10" s="18" t="n">
        <f aca="false">E10*F10</f>
        <v>350</v>
      </c>
    </row>
    <row r="11" customFormat="false" ht="23.25" hidden="false" customHeight="true" outlineLevel="0" collapsed="false">
      <c r="A11" s="5" t="s">
        <v>136</v>
      </c>
      <c r="B11" s="5" t="s">
        <v>200</v>
      </c>
      <c r="C11" s="5" t="s">
        <v>145</v>
      </c>
      <c r="D11" s="5" t="s">
        <v>146</v>
      </c>
      <c r="E11" s="18" t="n">
        <v>75</v>
      </c>
      <c r="F11" s="18" t="n">
        <v>2</v>
      </c>
      <c r="G11" s="18" t="n">
        <f aca="false">E11*F11</f>
        <v>150</v>
      </c>
    </row>
    <row r="12" customFormat="false" ht="23.25" hidden="false" customHeight="true" outlineLevel="0" collapsed="false">
      <c r="A12" s="5" t="s">
        <v>81</v>
      </c>
      <c r="B12" s="5" t="s">
        <v>201</v>
      </c>
      <c r="C12" s="5" t="s">
        <v>187</v>
      </c>
      <c r="D12" s="5" t="s">
        <v>193</v>
      </c>
      <c r="E12" s="18" t="n">
        <v>1800</v>
      </c>
      <c r="F12" s="18" t="n">
        <v>1</v>
      </c>
      <c r="G12" s="18" t="n">
        <f aca="false">E12*F12</f>
        <v>1800</v>
      </c>
    </row>
    <row r="13" customFormat="false" ht="15" hidden="false" customHeight="true" outlineLevel="0" collapsed="false">
      <c r="A13" s="5" t="s">
        <v>85</v>
      </c>
      <c r="B13" s="5" t="s">
        <v>202</v>
      </c>
      <c r="C13" s="5" t="s">
        <v>187</v>
      </c>
      <c r="D13" s="5" t="s">
        <v>193</v>
      </c>
      <c r="E13" s="18" t="n">
        <v>350</v>
      </c>
      <c r="F13" s="18" t="n">
        <v>2</v>
      </c>
      <c r="G13" s="18" t="n">
        <f aca="false">E13*F13</f>
        <v>700</v>
      </c>
    </row>
    <row r="14" customFormat="false" ht="15" hidden="false" customHeight="true" outlineLevel="0" collapsed="false">
      <c r="A14" s="5" t="s">
        <v>89</v>
      </c>
      <c r="B14" s="5" t="s">
        <v>203</v>
      </c>
      <c r="C14" s="5" t="s">
        <v>204</v>
      </c>
      <c r="D14" s="5" t="s">
        <v>205</v>
      </c>
      <c r="E14" s="18" t="n">
        <v>0</v>
      </c>
      <c r="F14" s="18" t="n">
        <v>1</v>
      </c>
      <c r="G14" s="18" t="n">
        <f aca="false">E14*F14</f>
        <v>0</v>
      </c>
    </row>
    <row r="15" customFormat="false" ht="15" hidden="false" customHeight="true" outlineLevel="0" collapsed="false">
      <c r="A15" s="5" t="s">
        <v>93</v>
      </c>
      <c r="B15" s="5" t="s">
        <v>206</v>
      </c>
      <c r="C15" s="5" t="s">
        <v>207</v>
      </c>
      <c r="D15" s="5" t="s">
        <v>208</v>
      </c>
      <c r="E15" s="18" t="n">
        <v>0</v>
      </c>
      <c r="F15" s="18" t="n">
        <v>1</v>
      </c>
      <c r="G15" s="18" t="n">
        <f aca="false">E15*F15</f>
        <v>0</v>
      </c>
    </row>
    <row r="16" customFormat="false" ht="23.25" hidden="false" customHeight="true" outlineLevel="0" collapsed="false">
      <c r="A16" s="5" t="s">
        <v>97</v>
      </c>
      <c r="B16" s="5" t="s">
        <v>209</v>
      </c>
      <c r="C16" s="5" t="s">
        <v>210</v>
      </c>
      <c r="D16" s="5" t="s">
        <v>211</v>
      </c>
      <c r="E16" s="18" t="n">
        <v>0</v>
      </c>
      <c r="F16" s="18" t="n">
        <v>1</v>
      </c>
      <c r="G16" s="18" t="n">
        <f aca="false">E16*F16</f>
        <v>0</v>
      </c>
    </row>
    <row r="17" customFormat="false" ht="23.25" hidden="false" customHeight="true" outlineLevel="0" collapsed="false">
      <c r="A17" s="5" t="s">
        <v>101</v>
      </c>
      <c r="B17" s="5" t="s">
        <v>212</v>
      </c>
      <c r="C17" s="5" t="s">
        <v>213</v>
      </c>
      <c r="D17" s="5" t="s">
        <v>214</v>
      </c>
      <c r="E17" s="18" t="n">
        <v>150</v>
      </c>
      <c r="F17" s="18" t="n">
        <v>480</v>
      </c>
      <c r="G17" s="18" t="n">
        <f aca="false">E17*F17</f>
        <v>72000</v>
      </c>
    </row>
    <row r="18" customFormat="false" ht="15" hidden="false" customHeight="true" outlineLevel="0" collapsed="false">
      <c r="A18" s="5" t="s">
        <v>108</v>
      </c>
      <c r="B18" s="5" t="s">
        <v>215</v>
      </c>
      <c r="C18" s="5" t="s">
        <v>216</v>
      </c>
      <c r="D18" s="5" t="s">
        <v>72</v>
      </c>
      <c r="E18" s="18" t="n">
        <v>250</v>
      </c>
      <c r="F18" s="18" t="n">
        <v>1</v>
      </c>
      <c r="G18" s="18" t="n">
        <f aca="false">E18*F18</f>
        <v>250</v>
      </c>
    </row>
    <row r="19" customFormat="false" ht="15" hidden="false" customHeight="true" outlineLevel="0" collapsed="false">
      <c r="A19" s="5" t="s">
        <v>111</v>
      </c>
      <c r="B19" s="5" t="s">
        <v>217</v>
      </c>
      <c r="C19" s="5" t="s">
        <v>218</v>
      </c>
      <c r="D19" s="5" t="s">
        <v>114</v>
      </c>
      <c r="E19" s="18" t="n">
        <v>200</v>
      </c>
      <c r="F19" s="18" t="n">
        <v>1</v>
      </c>
      <c r="G19" s="18" t="n">
        <f aca="false">E19*F19</f>
        <v>200</v>
      </c>
    </row>
    <row r="20" customFormat="false" ht="15" hidden="false" customHeight="true" outlineLevel="0" collapsed="false">
      <c r="A20" s="19" t="s">
        <v>219</v>
      </c>
      <c r="B20" s="28"/>
      <c r="C20" s="28"/>
      <c r="D20" s="28"/>
      <c r="E20" s="28"/>
      <c r="F20" s="28"/>
      <c r="G20" s="21" t="n">
        <f aca="false">SUM(G5:G19)</f>
        <v>82200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4"/>
  </cols>
  <sheetData>
    <row r="1" customFormat="false" ht="15" hidden="false" customHeight="true" outlineLevel="0" collapsed="false">
      <c r="A1" s="29" t="s">
        <v>220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16" t="s">
        <v>221</v>
      </c>
      <c r="B2" s="16"/>
      <c r="C2" s="16"/>
      <c r="D2" s="16"/>
      <c r="E2" s="16"/>
      <c r="F2" s="16"/>
      <c r="G2" s="16"/>
    </row>
    <row r="3" customFormat="false" ht="15" hidden="false" customHeight="true" outlineLevel="0" collapsed="false">
      <c r="A3" s="30" t="s">
        <v>222</v>
      </c>
      <c r="B3" s="30"/>
      <c r="C3" s="30"/>
      <c r="D3" s="30"/>
      <c r="E3" s="30"/>
      <c r="F3" s="30"/>
      <c r="G3" s="30"/>
    </row>
    <row r="5" customFormat="false" ht="15" hidden="false" customHeight="true" outlineLevel="0" collapsed="false">
      <c r="A5" s="4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</v>
      </c>
      <c r="G5" s="4" t="s">
        <v>44</v>
      </c>
    </row>
    <row r="6" customFormat="false" ht="23.25" hidden="false" customHeight="true" outlineLevel="0" collapsed="false">
      <c r="A6" s="5" t="s">
        <v>45</v>
      </c>
      <c r="B6" s="5" t="s">
        <v>223</v>
      </c>
      <c r="C6" s="5" t="s">
        <v>224</v>
      </c>
      <c r="D6" s="5" t="s">
        <v>225</v>
      </c>
      <c r="E6" s="18" t="n">
        <v>3</v>
      </c>
      <c r="F6" s="18" t="n">
        <v>16</v>
      </c>
      <c r="G6" s="18" t="n">
        <f aca="false">E6*F6</f>
        <v>48</v>
      </c>
    </row>
    <row r="7" customFormat="false" ht="23.25" hidden="false" customHeight="true" outlineLevel="0" collapsed="false">
      <c r="A7" s="5" t="s">
        <v>49</v>
      </c>
      <c r="B7" s="5" t="s">
        <v>226</v>
      </c>
      <c r="C7" s="5" t="s">
        <v>227</v>
      </c>
      <c r="D7" s="5" t="s">
        <v>228</v>
      </c>
      <c r="E7" s="18" t="n">
        <v>45</v>
      </c>
      <c r="F7" s="18" t="n">
        <v>1</v>
      </c>
      <c r="G7" s="18" t="n">
        <f aca="false">E7*F7</f>
        <v>45</v>
      </c>
    </row>
    <row r="8" customFormat="false" ht="23.25" hidden="false" customHeight="true" outlineLevel="0" collapsed="false">
      <c r="A8" s="5" t="s">
        <v>53</v>
      </c>
      <c r="B8" s="5" t="s">
        <v>229</v>
      </c>
      <c r="C8" s="5" t="s">
        <v>230</v>
      </c>
      <c r="D8" s="5" t="s">
        <v>231</v>
      </c>
      <c r="E8" s="18" t="n">
        <v>35</v>
      </c>
      <c r="F8" s="18" t="n">
        <v>1</v>
      </c>
      <c r="G8" s="18" t="n">
        <f aca="false">E8*F8</f>
        <v>35</v>
      </c>
    </row>
    <row r="9" customFormat="false" ht="23.25" hidden="false" customHeight="true" outlineLevel="0" collapsed="false">
      <c r="A9" s="5" t="s">
        <v>57</v>
      </c>
      <c r="B9" s="5" t="s">
        <v>232</v>
      </c>
      <c r="C9" s="5" t="s">
        <v>233</v>
      </c>
      <c r="D9" s="5" t="s">
        <v>68</v>
      </c>
      <c r="E9" s="18" t="n">
        <v>30</v>
      </c>
      <c r="F9" s="18" t="n">
        <v>1</v>
      </c>
      <c r="G9" s="18" t="n">
        <f aca="false">E9*F9</f>
        <v>30</v>
      </c>
    </row>
    <row r="10" customFormat="false" ht="23.25" hidden="false" customHeight="true" outlineLevel="0" collapsed="false">
      <c r="A10" s="5" t="s">
        <v>73</v>
      </c>
      <c r="B10" s="5" t="s">
        <v>234</v>
      </c>
      <c r="C10" s="5" t="s">
        <v>75</v>
      </c>
      <c r="D10" s="5" t="s">
        <v>76</v>
      </c>
      <c r="E10" s="18" t="n">
        <v>249</v>
      </c>
      <c r="F10" s="18" t="n">
        <v>1</v>
      </c>
      <c r="G10" s="18" t="n">
        <f aca="false">E10*F10</f>
        <v>249</v>
      </c>
    </row>
    <row r="11" customFormat="false" ht="23.25" hidden="false" customHeight="true" outlineLevel="0" collapsed="false">
      <c r="A11" s="5" t="s">
        <v>77</v>
      </c>
      <c r="B11" s="5" t="s">
        <v>235</v>
      </c>
      <c r="C11" s="5" t="s">
        <v>79</v>
      </c>
      <c r="D11" s="5" t="s">
        <v>72</v>
      </c>
      <c r="E11" s="18" t="n">
        <v>65</v>
      </c>
      <c r="F11" s="18" t="n">
        <v>1</v>
      </c>
      <c r="G11" s="18" t="n">
        <f aca="false">E11*F11</f>
        <v>65</v>
      </c>
    </row>
    <row r="12" customFormat="false" ht="23.25" hidden="false" customHeight="true" outlineLevel="0" collapsed="false">
      <c r="A12" s="5" t="s">
        <v>81</v>
      </c>
      <c r="B12" s="5" t="s">
        <v>236</v>
      </c>
      <c r="C12" s="5" t="s">
        <v>83</v>
      </c>
      <c r="D12" s="5" t="s">
        <v>84</v>
      </c>
      <c r="E12" s="18" t="n">
        <v>175</v>
      </c>
      <c r="F12" s="18" t="n">
        <v>1</v>
      </c>
      <c r="G12" s="18" t="n">
        <f aca="false">E12*F12</f>
        <v>175</v>
      </c>
    </row>
    <row r="13" customFormat="false" ht="23.25" hidden="false" customHeight="true" outlineLevel="0" collapsed="false">
      <c r="A13" s="5" t="s">
        <v>85</v>
      </c>
      <c r="B13" s="5" t="s">
        <v>237</v>
      </c>
      <c r="C13" s="5" t="s">
        <v>87</v>
      </c>
      <c r="D13" s="5" t="s">
        <v>88</v>
      </c>
      <c r="E13" s="18" t="n">
        <v>15</v>
      </c>
      <c r="F13" s="18" t="n">
        <v>2</v>
      </c>
      <c r="G13" s="18" t="n">
        <f aca="false">E13*F13</f>
        <v>30</v>
      </c>
    </row>
    <row r="14" customFormat="false" ht="23.25" hidden="false" customHeight="true" outlineLevel="0" collapsed="false">
      <c r="A14" s="5" t="s">
        <v>148</v>
      </c>
      <c r="B14" s="5" t="s">
        <v>238</v>
      </c>
      <c r="C14" s="5" t="s">
        <v>239</v>
      </c>
      <c r="D14" s="5" t="s">
        <v>240</v>
      </c>
      <c r="E14" s="18" t="n">
        <v>50</v>
      </c>
      <c r="F14" s="18" t="n">
        <v>1</v>
      </c>
      <c r="G14" s="18" t="n">
        <f aca="false">E14*F14</f>
        <v>50</v>
      </c>
    </row>
    <row r="15" customFormat="false" ht="23.25" hidden="false" customHeight="true" outlineLevel="0" collapsed="false">
      <c r="A15" s="5" t="s">
        <v>89</v>
      </c>
      <c r="B15" s="5" t="s">
        <v>241</v>
      </c>
      <c r="C15" s="5" t="s">
        <v>91</v>
      </c>
      <c r="D15" s="5" t="s">
        <v>92</v>
      </c>
      <c r="E15" s="18" t="n">
        <v>85</v>
      </c>
      <c r="F15" s="18" t="n">
        <v>1</v>
      </c>
      <c r="G15" s="18" t="n">
        <f aca="false">E15*F15</f>
        <v>85</v>
      </c>
    </row>
    <row r="16" customFormat="false" ht="23.25" hidden="false" customHeight="true" outlineLevel="0" collapsed="false">
      <c r="A16" s="5" t="s">
        <v>93</v>
      </c>
      <c r="B16" s="5" t="s">
        <v>242</v>
      </c>
      <c r="C16" s="5" t="s">
        <v>95</v>
      </c>
      <c r="D16" s="5" t="s">
        <v>243</v>
      </c>
      <c r="E16" s="18" t="n">
        <v>110</v>
      </c>
      <c r="F16" s="18" t="n">
        <v>1</v>
      </c>
      <c r="G16" s="18" t="n">
        <f aca="false">E16*F16</f>
        <v>110</v>
      </c>
    </row>
    <row r="17" customFormat="false" ht="15" hidden="false" customHeight="true" outlineLevel="0" collapsed="false">
      <c r="A17" s="5" t="s">
        <v>97</v>
      </c>
      <c r="B17" s="5" t="s">
        <v>244</v>
      </c>
      <c r="C17" s="5" t="s">
        <v>99</v>
      </c>
      <c r="D17" s="5" t="s">
        <v>72</v>
      </c>
      <c r="E17" s="18" t="n">
        <v>110</v>
      </c>
      <c r="F17" s="18" t="n">
        <v>1</v>
      </c>
      <c r="G17" s="18" t="n">
        <f aca="false">E17*F17</f>
        <v>110</v>
      </c>
    </row>
    <row r="18" customFormat="false" ht="15" hidden="false" customHeight="true" outlineLevel="0" collapsed="false">
      <c r="A18" s="5" t="s">
        <v>101</v>
      </c>
      <c r="B18" s="5" t="s">
        <v>245</v>
      </c>
      <c r="C18" s="5" t="s">
        <v>103</v>
      </c>
      <c r="D18" s="5" t="s">
        <v>72</v>
      </c>
      <c r="E18" s="18" t="n">
        <v>65</v>
      </c>
      <c r="F18" s="18" t="n">
        <v>1</v>
      </c>
      <c r="G18" s="18" t="n">
        <f aca="false">E18*F18</f>
        <v>65</v>
      </c>
    </row>
    <row r="19" customFormat="false" ht="15" hidden="false" customHeight="true" outlineLevel="0" collapsed="false">
      <c r="A19" s="5" t="s">
        <v>104</v>
      </c>
      <c r="B19" s="5" t="s">
        <v>246</v>
      </c>
      <c r="C19" s="5" t="s">
        <v>106</v>
      </c>
      <c r="D19" s="5" t="s">
        <v>107</v>
      </c>
      <c r="E19" s="18" t="n">
        <v>12</v>
      </c>
      <c r="F19" s="18" t="n">
        <v>2</v>
      </c>
      <c r="G19" s="18" t="n">
        <f aca="false">E19*F19</f>
        <v>24</v>
      </c>
    </row>
    <row r="20" customFormat="false" ht="23.25" hidden="false" customHeight="true" outlineLevel="0" collapsed="false">
      <c r="A20" s="5" t="s">
        <v>108</v>
      </c>
      <c r="B20" s="5" t="s">
        <v>247</v>
      </c>
      <c r="C20" s="5" t="s">
        <v>117</v>
      </c>
      <c r="D20" s="5" t="s">
        <v>72</v>
      </c>
      <c r="E20" s="18" t="n">
        <v>40</v>
      </c>
      <c r="F20" s="18" t="n">
        <v>1</v>
      </c>
      <c r="G20" s="18" t="n">
        <f aca="false">E20*F20</f>
        <v>40</v>
      </c>
    </row>
    <row r="21" customFormat="false" ht="15" hidden="false" customHeight="true" outlineLevel="0" collapsed="false">
      <c r="A21" s="19" t="s">
        <v>248</v>
      </c>
      <c r="B21" s="28"/>
      <c r="C21" s="28"/>
      <c r="D21" s="28"/>
      <c r="E21" s="28"/>
      <c r="F21" s="28"/>
      <c r="G21" s="21" t="n">
        <f aca="false">SUM(G6:G20)</f>
        <v>1161</v>
      </c>
    </row>
    <row r="22" customFormat="false" ht="15" hidden="false" customHeight="true" outlineLevel="0" collapsed="false">
      <c r="B22" s="23" t="s">
        <v>249</v>
      </c>
      <c r="G22" s="31" t="n">
        <f aca="false">G21*12</f>
        <v>13932</v>
      </c>
    </row>
    <row r="24" customFormat="false" ht="15" hidden="false" customHeight="true" outlineLevel="0" collapsed="false">
      <c r="A24" s="30" t="s">
        <v>250</v>
      </c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A25" s="4" t="s">
        <v>39</v>
      </c>
      <c r="B25" s="4" t="s">
        <v>40</v>
      </c>
      <c r="C25" s="4" t="s">
        <v>41</v>
      </c>
      <c r="D25" s="4" t="s">
        <v>42</v>
      </c>
      <c r="E25" s="4" t="s">
        <v>43</v>
      </c>
      <c r="F25" s="4" t="s">
        <v>4</v>
      </c>
      <c r="G25" s="4" t="s">
        <v>44</v>
      </c>
    </row>
    <row r="26" customFormat="false" ht="23.25" hidden="false" customHeight="true" outlineLevel="0" collapsed="false">
      <c r="A26" s="5" t="s">
        <v>163</v>
      </c>
      <c r="B26" s="5" t="s">
        <v>251</v>
      </c>
      <c r="C26" s="5" t="s">
        <v>252</v>
      </c>
      <c r="D26" s="5" t="s">
        <v>253</v>
      </c>
      <c r="E26" s="18" t="n">
        <v>3995</v>
      </c>
      <c r="F26" s="18" t="n">
        <v>1</v>
      </c>
      <c r="G26" s="18" t="n">
        <f aca="false">E26*F26</f>
        <v>3995</v>
      </c>
    </row>
    <row r="27" customFormat="false" ht="23.25" hidden="false" customHeight="true" outlineLevel="0" collapsed="false">
      <c r="A27" s="5" t="s">
        <v>167</v>
      </c>
      <c r="B27" s="5" t="s">
        <v>254</v>
      </c>
      <c r="C27" s="5" t="s">
        <v>252</v>
      </c>
      <c r="D27" s="5" t="s">
        <v>255</v>
      </c>
      <c r="E27" s="18" t="n">
        <v>1200</v>
      </c>
      <c r="F27" s="18" t="n">
        <v>1</v>
      </c>
      <c r="G27" s="18" t="n">
        <f aca="false">E27*F27</f>
        <v>1200</v>
      </c>
    </row>
    <row r="28" customFormat="false" ht="23.25" hidden="false" customHeight="true" outlineLevel="0" collapsed="false">
      <c r="A28" s="5" t="s">
        <v>174</v>
      </c>
      <c r="B28" s="5" t="s">
        <v>256</v>
      </c>
      <c r="C28" s="5" t="s">
        <v>75</v>
      </c>
      <c r="D28" s="5" t="s">
        <v>76</v>
      </c>
      <c r="E28" s="18" t="n">
        <v>249</v>
      </c>
      <c r="F28" s="18" t="n">
        <v>1</v>
      </c>
      <c r="G28" s="18" t="n">
        <f aca="false">E28*F28</f>
        <v>249</v>
      </c>
    </row>
    <row r="29" customFormat="false" ht="23.25" hidden="false" customHeight="true" outlineLevel="0" collapsed="false">
      <c r="A29" s="5" t="s">
        <v>257</v>
      </c>
      <c r="B29" s="5" t="s">
        <v>258</v>
      </c>
      <c r="C29" s="5" t="s">
        <v>259</v>
      </c>
      <c r="D29" s="5" t="s">
        <v>72</v>
      </c>
      <c r="E29" s="18" t="n">
        <v>180</v>
      </c>
      <c r="F29" s="18" t="n">
        <v>1</v>
      </c>
      <c r="G29" s="18" t="n">
        <f aca="false">E29*F29</f>
        <v>180</v>
      </c>
    </row>
    <row r="30" customFormat="false" ht="23.25" hidden="false" customHeight="true" outlineLevel="0" collapsed="false">
      <c r="A30" s="5" t="s">
        <v>260</v>
      </c>
      <c r="B30" s="5" t="s">
        <v>261</v>
      </c>
      <c r="C30" s="5" t="s">
        <v>198</v>
      </c>
      <c r="D30" s="5" t="s">
        <v>72</v>
      </c>
      <c r="E30" s="18" t="n">
        <v>65</v>
      </c>
      <c r="F30" s="18" t="n">
        <v>1</v>
      </c>
      <c r="G30" s="18" t="n">
        <f aca="false">E30*F30</f>
        <v>65</v>
      </c>
    </row>
    <row r="31" customFormat="false" ht="23.25" hidden="false" customHeight="true" outlineLevel="0" collapsed="false">
      <c r="A31" s="5" t="s">
        <v>262</v>
      </c>
      <c r="B31" s="5" t="s">
        <v>263</v>
      </c>
      <c r="C31" s="5" t="s">
        <v>113</v>
      </c>
      <c r="D31" s="5" t="s">
        <v>114</v>
      </c>
      <c r="E31" s="18" t="n">
        <v>35</v>
      </c>
      <c r="F31" s="18" t="n">
        <v>1</v>
      </c>
      <c r="G31" s="18" t="n">
        <f aca="false">E31*F31</f>
        <v>35</v>
      </c>
    </row>
    <row r="32" customFormat="false" ht="23.25" hidden="false" customHeight="true" outlineLevel="0" collapsed="false">
      <c r="A32" s="5" t="s">
        <v>264</v>
      </c>
      <c r="B32" s="5" t="s">
        <v>265</v>
      </c>
      <c r="C32" s="5" t="s">
        <v>266</v>
      </c>
      <c r="D32" s="5" t="s">
        <v>72</v>
      </c>
      <c r="E32" s="18" t="n">
        <v>120</v>
      </c>
      <c r="F32" s="18" t="n">
        <v>1</v>
      </c>
      <c r="G32" s="18" t="n">
        <f aca="false">E32*F32</f>
        <v>120</v>
      </c>
    </row>
    <row r="33" customFormat="false" ht="15" hidden="false" customHeight="true" outlineLevel="0" collapsed="false">
      <c r="A33" s="5" t="s">
        <v>267</v>
      </c>
      <c r="B33" s="5" t="s">
        <v>268</v>
      </c>
      <c r="C33" s="5" t="s">
        <v>117</v>
      </c>
      <c r="D33" s="5" t="s">
        <v>72</v>
      </c>
      <c r="E33" s="18" t="n">
        <v>50</v>
      </c>
      <c r="F33" s="18" t="n">
        <v>1</v>
      </c>
      <c r="G33" s="18" t="n">
        <f aca="false">E33*F33</f>
        <v>50</v>
      </c>
    </row>
    <row r="34" customFormat="false" ht="15" hidden="false" customHeight="true" outlineLevel="0" collapsed="false">
      <c r="A34" s="19" t="s">
        <v>269</v>
      </c>
      <c r="B34" s="28"/>
      <c r="C34" s="28"/>
      <c r="D34" s="28"/>
      <c r="E34" s="28"/>
      <c r="F34" s="28"/>
      <c r="G34" s="21" t="n">
        <f aca="false">SUM(G26:G33)</f>
        <v>5894</v>
      </c>
    </row>
    <row r="35" customFormat="false" ht="15" hidden="false" customHeight="true" outlineLevel="0" collapsed="false">
      <c r="B35" s="23" t="s">
        <v>270</v>
      </c>
      <c r="G35" s="31" t="n">
        <f aca="false">G34*6</f>
        <v>35364</v>
      </c>
    </row>
    <row r="37" customFormat="false" ht="15" hidden="false" customHeight="true" outlineLevel="0" collapsed="false">
      <c r="A37" s="30" t="s">
        <v>271</v>
      </c>
      <c r="B37" s="30"/>
      <c r="C37" s="30"/>
      <c r="D37" s="30"/>
      <c r="E37" s="30"/>
      <c r="F37" s="30"/>
      <c r="G37" s="30"/>
    </row>
    <row r="38" customFormat="false" ht="15" hidden="false" customHeight="true" outlineLevel="0" collapsed="false">
      <c r="A38" s="4" t="s">
        <v>39</v>
      </c>
      <c r="B38" s="4" t="s">
        <v>40</v>
      </c>
      <c r="C38" s="4" t="s">
        <v>41</v>
      </c>
      <c r="D38" s="4" t="s">
        <v>42</v>
      </c>
      <c r="E38" s="4" t="s">
        <v>43</v>
      </c>
      <c r="F38" s="4" t="s">
        <v>4</v>
      </c>
      <c r="G38" s="4" t="s">
        <v>44</v>
      </c>
    </row>
    <row r="39" customFormat="false" ht="23.25" hidden="false" customHeight="true" outlineLevel="0" collapsed="false">
      <c r="A39" s="5" t="s">
        <v>272</v>
      </c>
      <c r="B39" s="5" t="s">
        <v>273</v>
      </c>
      <c r="C39" s="5" t="s">
        <v>213</v>
      </c>
      <c r="D39" s="5" t="s">
        <v>214</v>
      </c>
      <c r="E39" s="18" t="n">
        <v>150</v>
      </c>
      <c r="F39" s="18" t="n">
        <v>160</v>
      </c>
      <c r="G39" s="18" t="n">
        <f aca="false">E39*F39</f>
        <v>24000</v>
      </c>
    </row>
    <row r="40" customFormat="false" ht="23.25" hidden="false" customHeight="true" outlineLevel="0" collapsed="false">
      <c r="A40" s="5" t="s">
        <v>274</v>
      </c>
      <c r="B40" s="5" t="s">
        <v>275</v>
      </c>
      <c r="C40" s="5" t="s">
        <v>213</v>
      </c>
      <c r="D40" s="5" t="s">
        <v>214</v>
      </c>
      <c r="E40" s="18" t="n">
        <v>150</v>
      </c>
      <c r="F40" s="18" t="n">
        <v>120</v>
      </c>
      <c r="G40" s="18" t="n">
        <f aca="false">E40*F40</f>
        <v>18000</v>
      </c>
    </row>
    <row r="41" customFormat="false" ht="23.25" hidden="false" customHeight="true" outlineLevel="0" collapsed="false">
      <c r="A41" s="5" t="s">
        <v>276</v>
      </c>
      <c r="B41" s="5" t="s">
        <v>277</v>
      </c>
      <c r="C41" s="5" t="s">
        <v>213</v>
      </c>
      <c r="D41" s="5" t="s">
        <v>214</v>
      </c>
      <c r="E41" s="18" t="n">
        <v>150</v>
      </c>
      <c r="F41" s="18" t="n">
        <v>120</v>
      </c>
      <c r="G41" s="18" t="n">
        <f aca="false">E41*F41</f>
        <v>18000</v>
      </c>
    </row>
    <row r="42" customFormat="false" ht="23.25" hidden="false" customHeight="true" outlineLevel="0" collapsed="false">
      <c r="A42" s="5" t="s">
        <v>278</v>
      </c>
      <c r="B42" s="5" t="s">
        <v>279</v>
      </c>
      <c r="C42" s="5" t="s">
        <v>213</v>
      </c>
      <c r="D42" s="5" t="s">
        <v>214</v>
      </c>
      <c r="E42" s="18" t="n">
        <v>150</v>
      </c>
      <c r="F42" s="18" t="n">
        <v>80</v>
      </c>
      <c r="G42" s="18" t="n">
        <f aca="false">E42*F42</f>
        <v>12000</v>
      </c>
    </row>
    <row r="43" customFormat="false" ht="15" hidden="false" customHeight="true" outlineLevel="0" collapsed="false">
      <c r="A43" s="19" t="s">
        <v>280</v>
      </c>
      <c r="B43" s="28"/>
      <c r="C43" s="28"/>
      <c r="D43" s="28"/>
      <c r="E43" s="28"/>
      <c r="F43" s="28"/>
      <c r="G43" s="21" t="n">
        <f aca="false">SUM(G39:G42)</f>
        <v>72000</v>
      </c>
    </row>
    <row r="45" customFormat="false" ht="15" hidden="false" customHeight="true" outlineLevel="0" collapsed="false">
      <c r="B45" s="32" t="s">
        <v>281</v>
      </c>
      <c r="G45" s="33" t="n">
        <f aca="false">G22+G35+G43</f>
        <v>121296</v>
      </c>
    </row>
  </sheetData>
  <mergeCells count="5">
    <mergeCell ref="A1:G1"/>
    <mergeCell ref="A2:G2"/>
    <mergeCell ref="A3:G3"/>
    <mergeCell ref="A24:G24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34" t="s">
        <v>282</v>
      </c>
      <c r="B1" s="34"/>
      <c r="C1" s="34"/>
      <c r="D1" s="34"/>
      <c r="E1" s="34"/>
      <c r="F1" s="34"/>
      <c r="G1" s="34"/>
    </row>
    <row r="2" customFormat="false" ht="15" hidden="false" customHeight="false" outlineLevel="0" collapsed="false">
      <c r="A2" s="35" t="s">
        <v>283</v>
      </c>
      <c r="B2" s="35"/>
      <c r="C2" s="35"/>
      <c r="D2" s="35"/>
      <c r="E2" s="35"/>
      <c r="F2" s="35"/>
      <c r="G2" s="35"/>
    </row>
    <row r="3" customFormat="false" ht="15" hidden="false" customHeight="false" outlineLevel="0" collapsed="false">
      <c r="A3" s="36" t="s">
        <v>284</v>
      </c>
      <c r="B3" s="36"/>
      <c r="C3" s="36"/>
      <c r="D3" s="36"/>
      <c r="E3" s="36"/>
      <c r="F3" s="36"/>
      <c r="G3" s="36"/>
    </row>
    <row r="5" customFormat="false" ht="15" hidden="false" customHeight="false" outlineLevel="0" collapsed="false">
      <c r="A5" s="4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</v>
      </c>
      <c r="G5" s="4" t="s">
        <v>44</v>
      </c>
    </row>
    <row r="6" customFormat="false" ht="23.85" hidden="false" customHeight="false" outlineLevel="0" collapsed="false">
      <c r="A6" s="5" t="s">
        <v>45</v>
      </c>
      <c r="B6" s="5" t="s">
        <v>285</v>
      </c>
      <c r="C6" s="5" t="s">
        <v>286</v>
      </c>
      <c r="D6" s="5" t="s">
        <v>287</v>
      </c>
      <c r="E6" s="6" t="n">
        <v>18000</v>
      </c>
      <c r="F6" s="6" t="n">
        <v>3</v>
      </c>
      <c r="G6" s="6" t="n">
        <f aca="false">E6*F6</f>
        <v>54000</v>
      </c>
    </row>
    <row r="7" customFormat="false" ht="23.85" hidden="false" customHeight="false" outlineLevel="0" collapsed="false">
      <c r="A7" s="5" t="s">
        <v>49</v>
      </c>
      <c r="B7" s="5" t="s">
        <v>288</v>
      </c>
      <c r="C7" s="5" t="s">
        <v>286</v>
      </c>
      <c r="D7" s="5" t="s">
        <v>287</v>
      </c>
      <c r="E7" s="6" t="n">
        <v>2500</v>
      </c>
      <c r="F7" s="6" t="n">
        <v>1</v>
      </c>
      <c r="G7" s="6" t="n">
        <f aca="false">E7*F7</f>
        <v>2500</v>
      </c>
    </row>
    <row r="8" customFormat="false" ht="23.85" hidden="false" customHeight="false" outlineLevel="0" collapsed="false">
      <c r="A8" s="5" t="s">
        <v>53</v>
      </c>
      <c r="B8" s="5" t="s">
        <v>289</v>
      </c>
      <c r="C8" s="5" t="s">
        <v>286</v>
      </c>
      <c r="D8" s="5" t="s">
        <v>287</v>
      </c>
      <c r="E8" s="6" t="n">
        <v>3500</v>
      </c>
      <c r="F8" s="6" t="n">
        <v>1</v>
      </c>
      <c r="G8" s="6" t="n">
        <f aca="false">E8*F8</f>
        <v>3500</v>
      </c>
    </row>
    <row r="9" customFormat="false" ht="23.85" hidden="false" customHeight="false" outlineLevel="0" collapsed="false">
      <c r="A9" s="5" t="s">
        <v>73</v>
      </c>
      <c r="B9" s="5" t="s">
        <v>290</v>
      </c>
      <c r="C9" s="5" t="s">
        <v>286</v>
      </c>
      <c r="D9" s="5" t="s">
        <v>287</v>
      </c>
      <c r="E9" s="6" t="n">
        <v>4500</v>
      </c>
      <c r="F9" s="6" t="n">
        <v>1</v>
      </c>
      <c r="G9" s="6" t="n">
        <f aca="false">E9*F9</f>
        <v>4500</v>
      </c>
    </row>
    <row r="10" customFormat="false" ht="23.85" hidden="false" customHeight="false" outlineLevel="0" collapsed="false">
      <c r="A10" s="5" t="s">
        <v>77</v>
      </c>
      <c r="B10" s="5" t="s">
        <v>291</v>
      </c>
      <c r="C10" s="5" t="s">
        <v>198</v>
      </c>
      <c r="D10" s="5" t="s">
        <v>72</v>
      </c>
      <c r="E10" s="6" t="n">
        <v>250</v>
      </c>
      <c r="F10" s="6" t="n">
        <v>1</v>
      </c>
      <c r="G10" s="6" t="n">
        <f aca="false">E10*F10</f>
        <v>250</v>
      </c>
    </row>
    <row r="11" customFormat="false" ht="23.85" hidden="false" customHeight="false" outlineLevel="0" collapsed="false">
      <c r="A11" s="5" t="s">
        <v>136</v>
      </c>
      <c r="B11" s="5" t="s">
        <v>292</v>
      </c>
      <c r="C11" s="5" t="s">
        <v>113</v>
      </c>
      <c r="D11" s="5" t="s">
        <v>114</v>
      </c>
      <c r="E11" s="6" t="n">
        <v>35</v>
      </c>
      <c r="F11" s="6" t="n">
        <v>3</v>
      </c>
      <c r="G11" s="6" t="n">
        <f aca="false">E11*F11</f>
        <v>105</v>
      </c>
    </row>
    <row r="12" customFormat="false" ht="23.85" hidden="false" customHeight="false" outlineLevel="0" collapsed="false">
      <c r="A12" s="5" t="s">
        <v>81</v>
      </c>
      <c r="B12" s="5" t="s">
        <v>293</v>
      </c>
      <c r="C12" s="5" t="s">
        <v>83</v>
      </c>
      <c r="D12" s="5" t="s">
        <v>84</v>
      </c>
      <c r="E12" s="6" t="n">
        <v>175</v>
      </c>
      <c r="F12" s="6" t="n">
        <v>1</v>
      </c>
      <c r="G12" s="6" t="n">
        <f aca="false">E12*F12</f>
        <v>175</v>
      </c>
    </row>
    <row r="13" customFormat="false" ht="23.85" hidden="false" customHeight="false" outlineLevel="0" collapsed="false">
      <c r="A13" s="5" t="s">
        <v>85</v>
      </c>
      <c r="B13" s="5" t="s">
        <v>86</v>
      </c>
      <c r="C13" s="5" t="s">
        <v>87</v>
      </c>
      <c r="D13" s="5" t="s">
        <v>88</v>
      </c>
      <c r="E13" s="6" t="n">
        <v>15</v>
      </c>
      <c r="F13" s="6" t="n">
        <v>2</v>
      </c>
      <c r="G13" s="6" t="n">
        <f aca="false">E13*F13</f>
        <v>30</v>
      </c>
    </row>
    <row r="14" customFormat="false" ht="23.85" hidden="false" customHeight="false" outlineLevel="0" collapsed="false">
      <c r="A14" s="5" t="s">
        <v>89</v>
      </c>
      <c r="B14" s="5" t="s">
        <v>294</v>
      </c>
      <c r="C14" s="5" t="s">
        <v>295</v>
      </c>
      <c r="D14" s="5" t="s">
        <v>296</v>
      </c>
      <c r="E14" s="6" t="n">
        <v>650</v>
      </c>
      <c r="F14" s="6" t="n">
        <v>1</v>
      </c>
      <c r="G14" s="6" t="n">
        <f aca="false">E14*F14</f>
        <v>650</v>
      </c>
    </row>
    <row r="15" customFormat="false" ht="23.85" hidden="false" customHeight="false" outlineLevel="0" collapsed="false">
      <c r="A15" s="5" t="s">
        <v>93</v>
      </c>
      <c r="B15" s="5" t="s">
        <v>297</v>
      </c>
      <c r="C15" s="5" t="s">
        <v>169</v>
      </c>
      <c r="D15" s="5" t="s">
        <v>170</v>
      </c>
      <c r="E15" s="6" t="n">
        <v>80</v>
      </c>
      <c r="F15" s="6" t="n">
        <v>1</v>
      </c>
      <c r="G15" s="6" t="n">
        <f aca="false">E15*F15</f>
        <v>80</v>
      </c>
    </row>
    <row r="16" customFormat="false" ht="23.85" hidden="false" customHeight="false" outlineLevel="0" collapsed="false">
      <c r="A16" s="5" t="s">
        <v>97</v>
      </c>
      <c r="B16" s="5" t="s">
        <v>298</v>
      </c>
      <c r="C16" s="5" t="s">
        <v>195</v>
      </c>
      <c r="D16" s="5" t="s">
        <v>72</v>
      </c>
      <c r="E16" s="6" t="n">
        <v>90</v>
      </c>
      <c r="F16" s="6" t="n">
        <v>1</v>
      </c>
      <c r="G16" s="6" t="n">
        <f aca="false">E16*F16</f>
        <v>90</v>
      </c>
    </row>
    <row r="17" customFormat="false" ht="23.85" hidden="false" customHeight="false" outlineLevel="0" collapsed="false">
      <c r="A17" s="5" t="s">
        <v>101</v>
      </c>
      <c r="B17" s="5" t="s">
        <v>299</v>
      </c>
      <c r="C17" s="5" t="s">
        <v>91</v>
      </c>
      <c r="D17" s="5" t="s">
        <v>166</v>
      </c>
      <c r="E17" s="6" t="n">
        <v>180</v>
      </c>
      <c r="F17" s="6" t="n">
        <v>1</v>
      </c>
      <c r="G17" s="6" t="n">
        <f aca="false">E17*F17</f>
        <v>180</v>
      </c>
    </row>
    <row r="18" customFormat="false" ht="23.85" hidden="false" customHeight="false" outlineLevel="0" collapsed="false">
      <c r="A18" s="5" t="s">
        <v>108</v>
      </c>
      <c r="B18" s="5" t="s">
        <v>300</v>
      </c>
      <c r="C18" s="5" t="s">
        <v>301</v>
      </c>
      <c r="D18" s="5" t="s">
        <v>72</v>
      </c>
      <c r="E18" s="6" t="n">
        <v>120</v>
      </c>
      <c r="F18" s="6" t="n">
        <v>1</v>
      </c>
      <c r="G18" s="6" t="n">
        <f aca="false">E18*F18</f>
        <v>120</v>
      </c>
    </row>
    <row r="19" customFormat="false" ht="23.85" hidden="false" customHeight="false" outlineLevel="0" collapsed="false">
      <c r="A19" s="5" t="s">
        <v>111</v>
      </c>
      <c r="B19" s="5" t="s">
        <v>302</v>
      </c>
      <c r="C19" s="5" t="s">
        <v>117</v>
      </c>
      <c r="D19" s="5" t="s">
        <v>72</v>
      </c>
      <c r="E19" s="6" t="n">
        <v>75</v>
      </c>
      <c r="F19" s="6" t="n">
        <v>1</v>
      </c>
      <c r="G19" s="6" t="n">
        <f aca="false">E19*F19</f>
        <v>75</v>
      </c>
    </row>
    <row r="20" customFormat="false" ht="15" hidden="false" customHeight="false" outlineLevel="0" collapsed="false">
      <c r="A20" s="37" t="s">
        <v>303</v>
      </c>
      <c r="B20" s="38"/>
      <c r="C20" s="38"/>
      <c r="D20" s="38"/>
      <c r="E20" s="38"/>
      <c r="F20" s="38"/>
      <c r="G20" s="39" t="n">
        <f aca="false">SUM(G6:G19)</f>
        <v>66255</v>
      </c>
    </row>
    <row r="21" customFormat="false" ht="15" hidden="false" customHeight="false" outlineLevel="0" collapsed="false">
      <c r="B21" s="40" t="s">
        <v>304</v>
      </c>
      <c r="G21" s="41" t="n">
        <f aca="false">G20*6</f>
        <v>397530</v>
      </c>
    </row>
    <row r="23" customFormat="false" ht="15" hidden="false" customHeight="false" outlineLevel="0" collapsed="false">
      <c r="A23" s="36" t="s">
        <v>305</v>
      </c>
      <c r="B23" s="36"/>
      <c r="C23" s="36"/>
      <c r="D23" s="36"/>
      <c r="E23" s="36"/>
      <c r="F23" s="36"/>
      <c r="G23" s="36"/>
    </row>
    <row r="24" customFormat="false" ht="15" hidden="false" customHeight="false" outlineLevel="0" collapsed="false">
      <c r="A24" s="4" t="s">
        <v>39</v>
      </c>
      <c r="B24" s="4" t="s">
        <v>40</v>
      </c>
      <c r="C24" s="4" t="s">
        <v>41</v>
      </c>
      <c r="D24" s="4" t="s">
        <v>42</v>
      </c>
      <c r="E24" s="4" t="s">
        <v>43</v>
      </c>
      <c r="F24" s="4" t="s">
        <v>4</v>
      </c>
      <c r="G24" s="4" t="s">
        <v>44</v>
      </c>
    </row>
    <row r="25" customFormat="false" ht="23.85" hidden="false" customHeight="false" outlineLevel="0" collapsed="false">
      <c r="A25" s="5" t="s">
        <v>163</v>
      </c>
      <c r="B25" s="5" t="s">
        <v>306</v>
      </c>
      <c r="C25" s="5" t="s">
        <v>213</v>
      </c>
      <c r="D25" s="5" t="s">
        <v>214</v>
      </c>
      <c r="E25" s="6" t="n">
        <v>150</v>
      </c>
      <c r="F25" s="6" t="n">
        <v>80</v>
      </c>
      <c r="G25" s="6" t="n">
        <f aca="false">E25*F25</f>
        <v>12000</v>
      </c>
    </row>
    <row r="26" customFormat="false" ht="23.85" hidden="false" customHeight="false" outlineLevel="0" collapsed="false">
      <c r="A26" s="5" t="s">
        <v>167</v>
      </c>
      <c r="B26" s="5" t="s">
        <v>307</v>
      </c>
      <c r="C26" s="5" t="s">
        <v>213</v>
      </c>
      <c r="D26" s="5" t="s">
        <v>214</v>
      </c>
      <c r="E26" s="6" t="n">
        <v>150</v>
      </c>
      <c r="F26" s="6" t="n">
        <v>120</v>
      </c>
      <c r="G26" s="6" t="n">
        <f aca="false">E26*F26</f>
        <v>18000</v>
      </c>
    </row>
    <row r="27" customFormat="false" ht="23.85" hidden="false" customHeight="false" outlineLevel="0" collapsed="false">
      <c r="A27" s="5" t="s">
        <v>171</v>
      </c>
      <c r="B27" s="5" t="s">
        <v>308</v>
      </c>
      <c r="C27" s="5" t="s">
        <v>213</v>
      </c>
      <c r="D27" s="5" t="s">
        <v>214</v>
      </c>
      <c r="E27" s="6" t="n">
        <v>150</v>
      </c>
      <c r="F27" s="6" t="n">
        <v>60</v>
      </c>
      <c r="G27" s="6" t="n">
        <f aca="false">E27*F27</f>
        <v>9000</v>
      </c>
    </row>
    <row r="28" customFormat="false" ht="23.85" hidden="false" customHeight="false" outlineLevel="0" collapsed="false">
      <c r="A28" s="5" t="s">
        <v>309</v>
      </c>
      <c r="B28" s="5" t="s">
        <v>310</v>
      </c>
      <c r="C28" s="5" t="s">
        <v>213</v>
      </c>
      <c r="D28" s="5" t="s">
        <v>214</v>
      </c>
      <c r="E28" s="6" t="n">
        <v>150</v>
      </c>
      <c r="F28" s="6" t="n">
        <v>40</v>
      </c>
      <c r="G28" s="6" t="n">
        <f aca="false">E28*F28</f>
        <v>6000</v>
      </c>
    </row>
    <row r="29" customFormat="false" ht="15" hidden="false" customHeight="false" outlineLevel="0" collapsed="false">
      <c r="A29" s="37" t="s">
        <v>311</v>
      </c>
      <c r="B29" s="38"/>
      <c r="C29" s="38"/>
      <c r="D29" s="38"/>
      <c r="E29" s="38"/>
      <c r="F29" s="38"/>
      <c r="G29" s="39" t="n">
        <f aca="false">SUM(G25:G28)</f>
        <v>45000</v>
      </c>
    </row>
    <row r="31" customFormat="false" ht="15" hidden="false" customHeight="false" outlineLevel="0" collapsed="false">
      <c r="B31" s="42" t="s">
        <v>312</v>
      </c>
      <c r="G31" s="43" t="n">
        <f aca="false">G21+G29</f>
        <v>442530</v>
      </c>
    </row>
  </sheetData>
  <mergeCells count="4">
    <mergeCell ref="A1:G1"/>
    <mergeCell ref="A2:G2"/>
    <mergeCell ref="A3:G3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2026-03-10T22:28:52Z</dcterms:created>
  <dc:creator>openpyxl</dc:creator>
  <dc:description/>
  <dc:language>en-US</dc:language>
  <cp:lastModifiedBy/>
  <dcterms:modified xsi:type="dcterms:W3CDTF">2026-03-10T22:57:37Z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